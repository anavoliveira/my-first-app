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mc:AlternateContent xmlns:mc="http://schemas.openxmlformats.org/markup-compatibility/2006">
    <mc:Choice Requires="x15">
      <x15ac:absPath xmlns:x15ac="http://schemas.microsoft.com/office/spreadsheetml/2010/11/ac" url="C:\Users\ANAVIC~1\AppData\Local\Temp\claude\C--Users-Ana-Vict-ria-Desktop-Tudo-Tudo\f5b146ad-ff0c-44ed-aa89-3092936007eb\scratchpad\xlsx\"/>
    </mc:Choice>
  </mc:AlternateContent>
  <xr:revisionPtr revIDLastSave="0" documentId="13_ncr:1_{C37B72CD-F985-4564-A504-8C76BA9CBE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o" sheetId="1" r:id="rId1"/>
    <sheet name="Leia-me" sheetId="2" r:id="rId2"/>
    <sheet name="Instancias" sheetId="3" r:id="rId3"/>
    <sheet name="Tes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0" i="4" l="1"/>
  <c r="AO20" i="4" s="1"/>
  <c r="AP20" i="4" s="1"/>
  <c r="AG20" i="4"/>
  <c r="AL20" i="4" s="1"/>
  <c r="AF20" i="4"/>
  <c r="N20" i="4"/>
  <c r="G20" i="4"/>
  <c r="AN19" i="4"/>
  <c r="AO19" i="4" s="1"/>
  <c r="AG19" i="4"/>
  <c r="AL19" i="4" s="1"/>
  <c r="AF19" i="4"/>
  <c r="N19" i="4"/>
  <c r="G19" i="4"/>
  <c r="AN18" i="4"/>
  <c r="AO18" i="4" s="1"/>
  <c r="AP18" i="4" s="1"/>
  <c r="AG18" i="4"/>
  <c r="AL18" i="4" s="1"/>
  <c r="AF18" i="4"/>
  <c r="N18" i="4"/>
  <c r="G18" i="4"/>
  <c r="AN17" i="4"/>
  <c r="AO17" i="4" s="1"/>
  <c r="AP17" i="4" s="1"/>
  <c r="AL17" i="4"/>
  <c r="AK17" i="4"/>
  <c r="AJ17" i="4"/>
  <c r="AG17" i="4"/>
  <c r="AF17" i="4"/>
  <c r="N17" i="4"/>
  <c r="G17" i="4"/>
  <c r="AN16" i="4"/>
  <c r="AO16" i="4" s="1"/>
  <c r="AP16" i="4" s="1"/>
  <c r="AG16" i="4"/>
  <c r="AL16" i="4" s="1"/>
  <c r="AF16" i="4"/>
  <c r="N16" i="4"/>
  <c r="G16" i="4"/>
  <c r="AN15" i="4"/>
  <c r="AO15" i="4" s="1"/>
  <c r="AG15" i="4"/>
  <c r="AL15" i="4" s="1"/>
  <c r="AF15" i="4"/>
  <c r="N15" i="4"/>
  <c r="G15" i="4"/>
  <c r="AN14" i="4"/>
  <c r="AO14" i="4" s="1"/>
  <c r="AP14" i="4" s="1"/>
  <c r="AG14" i="4"/>
  <c r="AL14" i="4" s="1"/>
  <c r="AF14" i="4"/>
  <c r="N14" i="4"/>
  <c r="G14" i="4"/>
  <c r="AO13" i="4"/>
  <c r="AP13" i="4" s="1"/>
  <c r="AN13" i="4"/>
  <c r="AG13" i="4"/>
  <c r="AL13" i="4" s="1"/>
  <c r="AF13" i="4"/>
  <c r="N13" i="4"/>
  <c r="G13" i="4"/>
  <c r="AN12" i="4"/>
  <c r="AO12" i="4" s="1"/>
  <c r="AP12" i="4" s="1"/>
  <c r="AG12" i="4"/>
  <c r="AL12" i="4" s="1"/>
  <c r="AF12" i="4"/>
  <c r="N12" i="4"/>
  <c r="G12" i="4"/>
  <c r="AN11" i="4"/>
  <c r="AO11" i="4" s="1"/>
  <c r="AG11" i="4"/>
  <c r="AL11" i="4" s="1"/>
  <c r="AF11" i="4"/>
  <c r="N11" i="4"/>
  <c r="G11" i="4"/>
  <c r="AN10" i="4"/>
  <c r="AO10" i="4" s="1"/>
  <c r="AP10" i="4" s="1"/>
  <c r="AK10" i="4"/>
  <c r="AJ10" i="4"/>
  <c r="AI10" i="4"/>
  <c r="AH10" i="4"/>
  <c r="AG10" i="4"/>
  <c r="AL10" i="4" s="1"/>
  <c r="AF10" i="4"/>
  <c r="N10" i="4"/>
  <c r="G10" i="4"/>
  <c r="AN9" i="4"/>
  <c r="AO9" i="4" s="1"/>
  <c r="AP9" i="4" s="1"/>
  <c r="AG9" i="4"/>
  <c r="AL9" i="4" s="1"/>
  <c r="AF9" i="4"/>
  <c r="N9" i="4"/>
  <c r="G9" i="4"/>
  <c r="AO8" i="4"/>
  <c r="AP8" i="4" s="1"/>
  <c r="K11" i="1" s="1"/>
  <c r="L11" i="1" s="1"/>
  <c r="AN8" i="4"/>
  <c r="AG8" i="4"/>
  <c r="AL8" i="4" s="1"/>
  <c r="AF8" i="4"/>
  <c r="N8" i="4"/>
  <c r="G8" i="4"/>
  <c r="AO7" i="4"/>
  <c r="AP7" i="4" s="1"/>
  <c r="AN7" i="4"/>
  <c r="AG7" i="4"/>
  <c r="AL7" i="4" s="1"/>
  <c r="AF7" i="4"/>
  <c r="N7" i="4"/>
  <c r="G7" i="4"/>
  <c r="AO6" i="4"/>
  <c r="AP6" i="4" s="1"/>
  <c r="AN6" i="4"/>
  <c r="AG6" i="4"/>
  <c r="AL6" i="4" s="1"/>
  <c r="AF6" i="4"/>
  <c r="N6" i="4"/>
  <c r="G6" i="4"/>
  <c r="AO5" i="4"/>
  <c r="AP5" i="4" s="1"/>
  <c r="K9" i="1" s="1"/>
  <c r="L9" i="1" s="1"/>
  <c r="AN5" i="4"/>
  <c r="AG5" i="4"/>
  <c r="AL5" i="4" s="1"/>
  <c r="AF5" i="4"/>
  <c r="N5" i="4"/>
  <c r="G5" i="4"/>
  <c r="AO4" i="4"/>
  <c r="AP4" i="4" s="1"/>
  <c r="AN4" i="4"/>
  <c r="AG4" i="4"/>
  <c r="AL4" i="4" s="1"/>
  <c r="AF4" i="4"/>
  <c r="N4" i="4"/>
  <c r="G4" i="4"/>
  <c r="AO3" i="4"/>
  <c r="AP3" i="4" s="1"/>
  <c r="AN3" i="4"/>
  <c r="AG3" i="4"/>
  <c r="AL3" i="4" s="1"/>
  <c r="AF3" i="4"/>
  <c r="N3" i="4"/>
  <c r="G3" i="4"/>
  <c r="E4" i="3"/>
  <c r="E3" i="3"/>
  <c r="E2" i="3"/>
  <c r="O18" i="1"/>
  <c r="I18" i="1"/>
  <c r="H18" i="1"/>
  <c r="F18" i="1"/>
  <c r="D18" i="1"/>
  <c r="B18" i="1"/>
  <c r="O17" i="1"/>
  <c r="N17" i="1"/>
  <c r="M17" i="1"/>
  <c r="K17" i="1"/>
  <c r="L17" i="1" s="1"/>
  <c r="J17" i="1"/>
  <c r="I17" i="1"/>
  <c r="H17" i="1"/>
  <c r="F17" i="1"/>
  <c r="D17" i="1"/>
  <c r="B17" i="1"/>
  <c r="O16" i="1"/>
  <c r="N16" i="1"/>
  <c r="M16" i="1"/>
  <c r="K16" i="1"/>
  <c r="L16" i="1" s="1"/>
  <c r="J16" i="1"/>
  <c r="I16" i="1"/>
  <c r="H16" i="1"/>
  <c r="F16" i="1"/>
  <c r="D16" i="1"/>
  <c r="B16" i="1"/>
  <c r="O15" i="1"/>
  <c r="I15" i="1"/>
  <c r="H15" i="1"/>
  <c r="F15" i="1"/>
  <c r="D15" i="1"/>
  <c r="B15" i="1"/>
  <c r="O14" i="1"/>
  <c r="I14" i="1"/>
  <c r="H14" i="1"/>
  <c r="F14" i="1"/>
  <c r="D14" i="1"/>
  <c r="B14" i="1"/>
  <c r="O12" i="1"/>
  <c r="N12" i="1"/>
  <c r="M12" i="1"/>
  <c r="K12" i="1"/>
  <c r="L12" i="1" s="1"/>
  <c r="J12" i="1"/>
  <c r="I12" i="1"/>
  <c r="H12" i="1"/>
  <c r="F12" i="1"/>
  <c r="D12" i="1"/>
  <c r="B12" i="1"/>
  <c r="O11" i="1"/>
  <c r="J11" i="1"/>
  <c r="I11" i="1"/>
  <c r="H11" i="1"/>
  <c r="F11" i="1"/>
  <c r="D11" i="1"/>
  <c r="B11" i="1"/>
  <c r="O10" i="1"/>
  <c r="N10" i="1"/>
  <c r="M10" i="1"/>
  <c r="K10" i="1"/>
  <c r="L10" i="1" s="1"/>
  <c r="J10" i="1"/>
  <c r="I10" i="1"/>
  <c r="H10" i="1"/>
  <c r="F10" i="1"/>
  <c r="D10" i="1"/>
  <c r="B10" i="1"/>
  <c r="O9" i="1"/>
  <c r="J9" i="1"/>
  <c r="I9" i="1"/>
  <c r="H9" i="1"/>
  <c r="F9" i="1"/>
  <c r="D9" i="1"/>
  <c r="B9" i="1"/>
  <c r="E16" i="1" l="1"/>
  <c r="AH17" i="4"/>
  <c r="AI17" i="4"/>
  <c r="P16" i="1"/>
  <c r="G16" i="1"/>
  <c r="P12" i="1"/>
  <c r="G12" i="1"/>
  <c r="AK20" i="4"/>
  <c r="AJ20" i="4"/>
  <c r="AI20" i="4"/>
  <c r="AH20" i="4"/>
  <c r="AP19" i="4"/>
  <c r="K18" i="1" s="1"/>
  <c r="L18" i="1" s="1"/>
  <c r="J18" i="1"/>
  <c r="AK19" i="4"/>
  <c r="AJ19" i="4"/>
  <c r="N18" i="1" s="1"/>
  <c r="AI19" i="4"/>
  <c r="AH19" i="4"/>
  <c r="M18" i="1" s="1"/>
  <c r="AK18" i="4"/>
  <c r="AJ18" i="4"/>
  <c r="AI18" i="4"/>
  <c r="AH18" i="4"/>
  <c r="AK16" i="4"/>
  <c r="AJ16" i="4"/>
  <c r="AH16" i="4"/>
  <c r="AI16" i="4"/>
  <c r="AP15" i="4"/>
  <c r="K15" i="1" s="1"/>
  <c r="L15" i="1" s="1"/>
  <c r="J15" i="1"/>
  <c r="AH15" i="4"/>
  <c r="M15" i="1" s="1"/>
  <c r="AK15" i="4"/>
  <c r="AJ15" i="4"/>
  <c r="N15" i="1" s="1"/>
  <c r="AI15" i="4"/>
  <c r="AH14" i="4"/>
  <c r="AK14" i="4"/>
  <c r="AJ14" i="4"/>
  <c r="AI14" i="4"/>
  <c r="AH13" i="4"/>
  <c r="AK13" i="4"/>
  <c r="AJ13" i="4"/>
  <c r="AI13" i="4"/>
  <c r="AK12" i="4"/>
  <c r="AJ12" i="4"/>
  <c r="AI12" i="4"/>
  <c r="AH12" i="4"/>
  <c r="AP11" i="4"/>
  <c r="K14" i="1" s="1"/>
  <c r="L14" i="1" s="1"/>
  <c r="J14" i="1"/>
  <c r="AI11" i="4"/>
  <c r="AH11" i="4"/>
  <c r="M14" i="1" s="1"/>
  <c r="AJ11" i="4"/>
  <c r="N14" i="1" s="1"/>
  <c r="AK11" i="4"/>
  <c r="AI9" i="4"/>
  <c r="AJ9" i="4"/>
  <c r="AK9" i="4"/>
  <c r="AH9" i="4"/>
  <c r="AJ8" i="4"/>
  <c r="N11" i="1" s="1"/>
  <c r="AK8" i="4"/>
  <c r="AH8" i="4"/>
  <c r="M11" i="1" s="1"/>
  <c r="AI8" i="4"/>
  <c r="AK7" i="4"/>
  <c r="AJ7" i="4"/>
  <c r="AI7" i="4"/>
  <c r="AH7" i="4"/>
  <c r="AH6" i="4"/>
  <c r="AK6" i="4"/>
  <c r="AJ6" i="4"/>
  <c r="AI6" i="4"/>
  <c r="AI5" i="4"/>
  <c r="AK5" i="4"/>
  <c r="AJ5" i="4"/>
  <c r="N9" i="1" s="1"/>
  <c r="AH5" i="4"/>
  <c r="M9" i="1" s="1"/>
  <c r="AH4" i="4"/>
  <c r="AI4" i="4"/>
  <c r="AJ4" i="4"/>
  <c r="AK4" i="4"/>
  <c r="AH3" i="4"/>
  <c r="AJ3" i="4"/>
  <c r="AI3" i="4"/>
  <c r="AK3" i="4"/>
  <c r="G18" i="1"/>
  <c r="E18" i="1"/>
  <c r="P18" i="1" s="1"/>
  <c r="E17" i="1"/>
  <c r="P17" i="1"/>
  <c r="G17" i="1"/>
  <c r="G15" i="1"/>
  <c r="E15" i="1"/>
  <c r="P15" i="1" s="1"/>
  <c r="G14" i="1"/>
  <c r="P14" i="1"/>
  <c r="E14" i="1"/>
  <c r="E11" i="1"/>
  <c r="G11" i="1"/>
  <c r="P11" i="1"/>
  <c r="P10" i="1"/>
  <c r="G10" i="1"/>
  <c r="E10" i="1"/>
  <c r="G9" i="1"/>
  <c r="P9" i="1"/>
  <c r="E12" i="1"/>
  <c r="E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J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Referência: pelo custo que você informou para o 1M (8,63 USD) dá ~5,2 USD/h. Confirme no AWS Pricing.</t>
        </r>
      </text>
    </comment>
    <comment ref="J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Referência: pelo custo que você informou para o 1M (8,86 USD) dá ~6,4 USD/h. Confirme no AWS Pricing.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J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Comparativos.md diz que g5 e g6 usaram a mesma configuração. Confirme.</t>
        </r>
      </text>
    </comment>
    <comment ref="Z1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25,2%/GPU × 4 GPUs, do comparativo do notebook fracionado.</t>
        </r>
      </text>
    </comment>
    <comment ref="J15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O notebook registrou MaxConcurrentInvocationsPerInstance = 16 e NUM_REPLICAS = 16 na Fase 0; o log do container mostrou 8 réplicas. Ajuste se a concorrência real foi outra.</t>
        </r>
      </text>
    </comment>
    <comment ref="I18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Preencha réplicas e concorrência da p5e.</t>
        </r>
      </text>
    </comment>
  </commentList>
</comments>
</file>

<file path=xl/sharedStrings.xml><?xml version="1.0" encoding="utf-8"?>
<sst xmlns="http://schemas.openxmlformats.org/spreadsheetml/2006/main" count="295" uniqueCount="178">
  <si>
    <t>Testes de GPU no SageMaker</t>
  </si>
  <si>
    <t>Batch Transform e Async Inference · g6, g5 e p5e · com e sem fracionamento de GPU</t>
  </si>
  <si>
    <t>Comparar no teste  ▸</t>
  </si>
  <si>
    <t>1M</t>
  </si>
  <si>
    <t>clique e escolha: 1 req./arquivo · Lote 40 · 1M · Rodada longa · 8 req. em voo</t>
  </si>
  <si>
    <t>CENÁRIO</t>
  </si>
  <si>
    <t>VELOCIDADE</t>
  </si>
  <si>
    <t>CONFIABILIDADE</t>
  </si>
  <si>
    <t>CUSTO</t>
  </si>
  <si>
    <t>USO DA MÁQUINA</t>
  </si>
  <si>
    <t>Instância</t>
  </si>
  <si>
    <t>Fracionamento</t>
  </si>
  <si>
    <t>Linhas por segundo</t>
  </si>
  <si>
    <t>vs g6 sem fracionamento</t>
  </si>
  <si>
    <t>Tempo do teste</t>
  </si>
  <si>
    <t>Tempo p/ 24M</t>
  </si>
  <si>
    <t>Requisições / arquivos ok</t>
  </si>
  <si>
    <t>Falhas</t>
  </si>
  <si>
    <t>Custo do teste (USD)</t>
  </si>
  <si>
    <t>Custo por 1M (USD)</t>
  </si>
  <si>
    <t>Custo p/ 24M (USD)</t>
  </si>
  <si>
    <t>GPU usada</t>
  </si>
  <si>
    <t>Memória de GPU</t>
  </si>
  <si>
    <t>Tempo do modelo por req. (s)</t>
  </si>
  <si>
    <t>Leitura</t>
  </si>
  <si>
    <t>Batch Transform</t>
  </si>
  <si>
    <t>sem</t>
  </si>
  <si>
    <t>Batch · g6.12xl</t>
  </si>
  <si>
    <t>com 0,5 GPU</t>
  </si>
  <si>
    <t>Batch · g6.12xl · frac</t>
  </si>
  <si>
    <t>Batch · g5.12xl</t>
  </si>
  <si>
    <t>Batch · g5.12xl · frac</t>
  </si>
  <si>
    <t>Async Inference</t>
  </si>
  <si>
    <t>Async · g6.12xl</t>
  </si>
  <si>
    <t>Async · g6.12xl · frac</t>
  </si>
  <si>
    <t>Async · g5.12xl</t>
  </si>
  <si>
    <t>Async · g5.12xl · frac</t>
  </si>
  <si>
    <t>Async · p5e.48xl</t>
  </si>
  <si>
    <t>O que os testes mostraram até agora</t>
  </si>
  <si>
    <t>Batch: a g5 é ~20% mais rápida que a g6</t>
  </si>
  <si>
    <t>211 contra 176 linhas/s no 1M, com custo quase igual (8,86 contra 8,63 USD). A g6 fica com a GPU no limite; a g5 ainda tem folga.</t>
  </si>
  <si>
    <t>Na g6, batch e async têm a mesma velocidade</t>
  </si>
  <si>
    <t>~175 linhas/s nos dois. A escolha é operacional: custo de deixar o endpoint de pé e o limite de 5 min por requisição no async.</t>
  </si>
  <si>
    <t>A p5e é ~13× mais rápida que a g6</t>
  </si>
  <si>
    <t>2.316 contra 173 linhas/s no async (24M em 3h14). Foi paga por reserva, então o custo não é comparável direto.</t>
  </si>
  <si>
    <t>Fracionamento na g6: funcionou, mas não serviu</t>
  </si>
  <si>
    <t>As 8 réplicas subiram (memória de GPU de 25% para 64% por GPU), mas a velocidade caiu 54% e 70% das requisições do 1M deram timeout. A GPU da g6 já estava cheia.</t>
  </si>
  <si>
    <t>Falta testar</t>
  </si>
  <si>
    <t>Batch com fracionamento (teste A/B na g5, que tem folga de GPU), async na g5 e os preços por hora na aba Instancias.</t>
  </si>
  <si>
    <t>Como ler a tabela</t>
  </si>
  <si>
    <t>•  Linhas por segundo: quanto foi processado por segundo, contando só o que deu certo. Barra maior = mais rápido.</t>
  </si>
  <si>
    <t>•  vs g6 sem fracionamento: compara com a g6 sem fracionamento do mesmo serviço (batch com batch, async com async). Verde = 10% ou mais rápido; vermelho = 5% ou mais lento.</t>
  </si>
  <si>
    <t>•  Tempo e custo p/ 24M: conta simples a partir da velocidade e do custo por 1M do teste escolhido, com 1 instância.</t>
  </si>
  <si>
    <t>•  GPU usada / memória de GPU: média por GPU (100% = GPUs cheias). Quanto mais laranja, mais perto do limite; GPU perto de 100% indica que mais réplicas não ajudam.</t>
  </si>
  <si>
    <t>•  Custo vazio: falta o preço por hora na aba Instancias (o batch usa o custo que você calculou). A p5e foi paga por reserva.</t>
  </si>
  <si>
    <t>•  Barra azul à esquerda = cenário com fracionamento. No Lote 40, a p5e usou requisições de 28.581 linhas (~1,1M linhas), contra ~5.000 nas outras.</t>
  </si>
  <si>
    <t>Linhas por segundo no teste escolhido</t>
  </si>
  <si>
    <t>Testes de GPU · SageMaker</t>
  </si>
  <si>
    <t>Como a planilha está organizada</t>
  </si>
  <si>
    <t>Testes: uma linha por teste executado (serviço × instância × fracionamento × tamanho do teste). É a base de tudo. Para incluir um teste novo, adicione uma linha no fim da tabela; as fórmulas se estendem sozinhas.</t>
  </si>
  <si>
    <t>Instancias: configuração de hardware e preço por hora de cada instância. Os testes buscam daqui o nº de GPUs, vCPUs e o preço.</t>
  </si>
  <si>
    <t>Resumo: a página para ler. Uma tabela com todas as combinações (serviço × instância × fracionamento) no teste escolhido na célula amarela, as conclusões em texto e um gráfico.</t>
  </si>
  <si>
    <t>Legenda</t>
  </si>
  <si>
    <t>Texto azul = valor digitado (veio das notas de Métricas). Texto preto com fundo cinza = fórmula, não editar.</t>
  </si>
  <si>
    <t>Fundo amarelo = preencha (preço por hora, seleção do comparativo).</t>
  </si>
  <si>
    <t>Colunas 'Hardware (console)' = como aparece no CloudWatch, somado entre GPUs/vCPUs (g6 e g5 vão até 400%, p5e até 800%). As colunas '/GPU' e '/vCPU' dividem pelo nº de GPUs/vCPUs, para comparar instâncias de tamanhos diferentes.</t>
  </si>
  <si>
    <t>Custo</t>
  </si>
  <si>
    <t>Batch: usei o custo que você calculou nas notas (coluna 'Custo informado'). Quando ela estiver vazia, custo = (tempo total − provisionamento) × preço/h do Batch, porque o provisionamento não é cobrado.</t>
  </si>
  <si>
    <t>Async: custo = tempo total do teste × preço/h de hospedagem (a instância fica de pé o teste todo). Preencha os preços na aba Instancias para o custo aparecer.</t>
  </si>
  <si>
    <t>P5e: foi paga por reserva (Training Plan, US$ 1.290,71). O custo por teste depende do período coberto pela reserva, por isso ficou sem preço.</t>
  </si>
  <si>
    <t>Dicas</t>
  </si>
  <si>
    <t>A aba Testes abre só com as colunas principais; clique nos botões + acima das colunas para ver os detalhes (tempos, hardware do console, preço). Use os filtros do cabeçalho (Serviço, Instância, Fracionamento, Teste) para comparar só o que interessa. Para uma visão livre: Inserir → Tabela Dinâmica, a partir da tabela 'Testes'.</t>
  </si>
  <si>
    <t>Throughput conta só as requisições/arquivos que deram certo. Compare sempre o mesmo tamanho de teste: o de 1 requisição/arquivo inclui cold start ou provisionamento.</t>
  </si>
  <si>
    <t>GPU</t>
  </si>
  <si>
    <t>Nº GPUs</t>
  </si>
  <si>
    <t>Memória por GPU (GB)</t>
  </si>
  <si>
    <t>Memória de GPU total (GB)</t>
  </si>
  <si>
    <t>vCPUs</t>
  </si>
  <si>
    <t>RAM (GiB)</t>
  </si>
  <si>
    <t>Rede</t>
  </si>
  <si>
    <t>Armazenamento</t>
  </si>
  <si>
    <t>Preço/h Batch (USD)</t>
  </si>
  <si>
    <t>Preço/h Async (USD)</t>
  </si>
  <si>
    <t>Fonte / observação do preço</t>
  </si>
  <si>
    <t>ml.g6.12xlarge</t>
  </si>
  <si>
    <t>NVIDIA L4</t>
  </si>
  <si>
    <t>40 Gigabit</t>
  </si>
  <si>
    <t>4 x 940 GB NVMe SSD</t>
  </si>
  <si>
    <t>Preencha com o preço on-demand de sa-east-1</t>
  </si>
  <si>
    <t>ml.g5.12xlarge</t>
  </si>
  <si>
    <t>NVIDIA A10G</t>
  </si>
  <si>
    <t>1 x 3800 GB NVMe SSD</t>
  </si>
  <si>
    <t>ml.p5e.48xlarge</t>
  </si>
  <si>
    <t>NVIDIA H200</t>
  </si>
  <si>
    <t>3200 Gigabit</t>
  </si>
  <si>
    <t>8 x 3840 GB NVMe SSD</t>
  </si>
  <si>
    <t>Reserva (Training Plan) de US$ 1.290,71, sem preço por hora</t>
  </si>
  <si>
    <t>IDENTIFICAÇÃO</t>
  </si>
  <si>
    <t>CONFIGURAÇÃO</t>
  </si>
  <si>
    <t>RESULTADO</t>
  </si>
  <si>
    <t>HARDWARE (CONSOLE)</t>
  </si>
  <si>
    <t>HARDWARE NORMALIZADO</t>
  </si>
  <si>
    <t>NOTAS</t>
  </si>
  <si>
    <t>ID</t>
  </si>
  <si>
    <t>Data</t>
  </si>
  <si>
    <t>Serviço</t>
  </si>
  <si>
    <t>Teste</t>
  </si>
  <si>
    <t>num_gpus por réplica</t>
  </si>
  <si>
    <t>Réplicas</t>
  </si>
  <si>
    <t>Concorrência</t>
  </si>
  <si>
    <t>Linhas por req./arquivo</t>
  </si>
  <si>
    <t>Itens ok</t>
  </si>
  <si>
    <t>Itens total</t>
  </si>
  <si>
    <t>% ok</t>
  </si>
  <si>
    <t>Linhas processadas</t>
  </si>
  <si>
    <t>Provisionamento (min)</t>
  </si>
  <si>
    <t>Processamento (min)</t>
  </si>
  <si>
    <t>Tempo total (min)</t>
  </si>
  <si>
    <t>Throughput processamento (linhas/s)</t>
  </si>
  <si>
    <t>Throughput total (linhas/s)</t>
  </si>
  <si>
    <t>Latência média por req. (s)</t>
  </si>
  <si>
    <t>ModelLatency (s)</t>
  </si>
  <si>
    <t>GPU média %</t>
  </si>
  <si>
    <t>GPU pico %</t>
  </si>
  <si>
    <t>Mem. GPU média %</t>
  </si>
  <si>
    <t>Mem. GPU pico %</t>
  </si>
  <si>
    <t>CPU média %</t>
  </si>
  <si>
    <t>CPU pico %</t>
  </si>
  <si>
    <t>RAM média %</t>
  </si>
  <si>
    <t>RAM pico %</t>
  </si>
  <si>
    <t>GPU média /GPU</t>
  </si>
  <si>
    <t>GPU pico /GPU</t>
  </si>
  <si>
    <t>Mem. GPU média /GPU</t>
  </si>
  <si>
    <t>Mem. GPU pico /GPU</t>
  </si>
  <si>
    <t>CPU média /vCPU</t>
  </si>
  <si>
    <t>Custo informado (USD)</t>
  </si>
  <si>
    <t>Preço/h (USD)</t>
  </si>
  <si>
    <t>Custo (USD)</t>
  </si>
  <si>
    <t>Custo por 1M linhas (USD)</t>
  </si>
  <si>
    <t>Status</t>
  </si>
  <si>
    <t>Observações</t>
  </si>
  <si>
    <t>B-03</t>
  </si>
  <si>
    <t>Batch</t>
  </si>
  <si>
    <t>Não</t>
  </si>
  <si>
    <t>1 req./arquivo</t>
  </si>
  <si>
    <t>OK</t>
  </si>
  <si>
    <t>Na nota, a GPU média (100%) está maior que o pico (50%): conferir no CloudWatch</t>
  </si>
  <si>
    <t>B-05</t>
  </si>
  <si>
    <t>Lote 40</t>
  </si>
  <si>
    <t>B-07</t>
  </si>
  <si>
    <t>14/10/2026</t>
  </si>
  <si>
    <t>Job iulotus-g5-bt-b03-1014-114932</t>
  </si>
  <si>
    <t>15/10/2026</t>
  </si>
  <si>
    <t>Job iulotus-g5-bt-b05-1015-113747 · mesmos arquivos do lote de 40 da g6</t>
  </si>
  <si>
    <t>Job iulotus-g5-bt-b07-1015-122331 · mesmos 200 arquivos do 1M da g6</t>
  </si>
  <si>
    <t>P-03</t>
  </si>
  <si>
    <t>30/09/2026</t>
  </si>
  <si>
    <t>Async</t>
  </si>
  <si>
    <t>Com cold start (endpoint em 0 instâncias)</t>
  </si>
  <si>
    <t>P-05</t>
  </si>
  <si>
    <t>Latência inclui a espera na fila</t>
  </si>
  <si>
    <t>P-07</t>
  </si>
  <si>
    <t>P-07b</t>
  </si>
  <si>
    <t>Rodada longa</t>
  </si>
  <si>
    <t>Parcial</t>
  </si>
  <si>
    <t>24M não coube no TTL de 6 h; 2 timeouts</t>
  </si>
  <si>
    <t>Sim</t>
  </si>
  <si>
    <t>Com cold start</t>
  </si>
  <si>
    <t>22 Request timeout (limite de 5 min do Ray)</t>
  </si>
  <si>
    <t>140 Request timeout; ModelLatency ~3,3× a da g6 sem fracionamento</t>
  </si>
  <si>
    <t>P-14</t>
  </si>
  <si>
    <t>8 req. em voo</t>
  </si>
  <si>
    <t>Teste de concorrência: o cliente manda no máximo 8 requisições por vez</t>
  </si>
  <si>
    <t>17/09/2026</t>
  </si>
  <si>
    <t>Requisições de 28.581 linhas</t>
  </si>
  <si>
    <t>40 req. de 28.581 linhas (~1,1M linhas, não 190 mil como na g6)</t>
  </si>
  <si>
    <t>18/09/2026</t>
  </si>
  <si>
    <t>24M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</si>
</sst>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\+0%;\-0%;0%"/>
    <numFmt numFmtId="167" formatCode="[h]&quot;h&quot;mm"/>
  </numFmts>
  <fonts count="25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0"/>
      <color rgb="FF1F2A44"/>
      <name val="Arial"/>
    </font>
    <font>
      <sz val="10"/>
      <color rgb="FF0000FF"/>
      <name val="Arial"/>
    </font>
    <font>
      <b/>
      <sz val="9"/>
      <color rgb="FF2F5597"/>
      <name val="Arial"/>
    </font>
    <font>
      <b/>
      <sz val="9"/>
      <color rgb="FF1565C0"/>
      <name val="Arial"/>
    </font>
    <font>
      <b/>
      <sz val="9"/>
      <color rgb="FF2E7D32"/>
      <name val="Arial"/>
    </font>
    <font>
      <b/>
      <sz val="9"/>
      <color rgb="FF6A1B9A"/>
      <name val="Arial"/>
    </font>
    <font>
      <b/>
      <sz val="9"/>
      <color rgb="FFBF5B04"/>
      <name val="Arial"/>
    </font>
    <font>
      <b/>
      <sz val="9"/>
      <color rgb="FF1F2A44"/>
      <name val="Arial"/>
    </font>
    <font>
      <b/>
      <sz val="20"/>
      <color rgb="FF1F2A44"/>
      <name val="Arial"/>
    </font>
    <font>
      <sz val="10"/>
      <color rgb="FF7F7F7F"/>
      <name val="Arial"/>
    </font>
    <font>
      <b/>
      <sz val="12"/>
      <color rgb="FF1F2A44"/>
      <name val="Arial"/>
    </font>
    <font>
      <b/>
      <sz val="12"/>
      <color rgb="FF0000FF"/>
      <name val="Arial"/>
    </font>
    <font>
      <i/>
      <sz val="9"/>
      <color rgb="FF7F7F7F"/>
      <name val="Arial"/>
    </font>
    <font>
      <b/>
      <sz val="11"/>
      <color rgb="FF1F2A44"/>
      <name val="Arial"/>
    </font>
    <font>
      <sz val="10"/>
      <color rgb="FF1F2A44"/>
      <name val="Arial"/>
    </font>
    <font>
      <b/>
      <sz val="10"/>
      <color rgb="FF2F5597"/>
      <name val="Arial"/>
    </font>
    <font>
      <b/>
      <sz val="13"/>
      <color rgb="FF1F2A44"/>
      <name val="Arial"/>
    </font>
    <font>
      <b/>
      <sz val="10"/>
      <color rgb="FF2E7D32"/>
      <name val="Arial"/>
    </font>
    <font>
      <b/>
      <sz val="10"/>
      <color rgb="FFC62828"/>
      <name val="Arial"/>
    </font>
    <font>
      <sz val="9"/>
      <color rgb="FF5F6672"/>
      <name val="Arial"/>
    </font>
    <font>
      <sz val="8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rgb="FFE8EEF8"/>
      </patternFill>
    </fill>
    <fill>
      <patternFill patternType="solid">
        <fgColor rgb="FFF7F8FA"/>
      </patternFill>
    </fill>
    <fill>
      <patternFill patternType="solid">
        <fgColor rgb="FFFFF2CC"/>
      </patternFill>
    </fill>
    <fill>
      <patternFill patternType="solid">
        <fgColor rgb="FFE6F0FA"/>
      </patternFill>
    </fill>
    <fill>
      <patternFill patternType="solid">
        <fgColor rgb="FFE8F3E9"/>
      </patternFill>
    </fill>
    <fill>
      <patternFill patternType="solid">
        <fgColor rgb="FFF1E8F6"/>
      </patternFill>
    </fill>
    <fill>
      <patternFill patternType="solid">
        <fgColor rgb="FFFCEEE3"/>
      </patternFill>
    </fill>
    <fill>
      <patternFill patternType="solid">
        <fgColor rgb="FFEEF0F3"/>
      </patternFill>
    </fill>
    <fill>
      <patternFill patternType="solid">
        <fgColor rgb="FF5B9BD5"/>
      </patternFill>
    </fill>
    <fill>
      <patternFill patternType="solid">
        <fgColor rgb="FF2E7D32"/>
      </patternFill>
    </fill>
    <fill>
      <patternFill patternType="solid">
        <fgColor rgb="FFF6F7F9"/>
      </patternFill>
    </fill>
    <fill>
      <patternFill patternType="solid">
        <fgColor rgb="FF2F5597"/>
      </patternFill>
    </fill>
    <fill>
      <patternFill patternType="solid">
        <fgColor rgb="FFC62828"/>
      </patternFill>
    </fill>
    <fill>
      <patternFill patternType="solid">
        <fgColor rgb="FF9E9E9E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2F5597"/>
      </bottom>
      <diagonal/>
    </border>
    <border>
      <left/>
      <right/>
      <top/>
      <bottom style="thin">
        <color rgb="FFE4E7EC"/>
      </bottom>
      <diagonal/>
    </border>
    <border>
      <left/>
      <right/>
      <top style="medium">
        <color rgb="FF2F5597"/>
      </top>
      <bottom style="thin">
        <color rgb="FFBFC5CF"/>
      </bottom>
      <diagonal/>
    </border>
    <border>
      <left/>
      <right/>
      <top style="medium">
        <color rgb="FF1565C0"/>
      </top>
      <bottom style="thin">
        <color rgb="FFBFC5CF"/>
      </bottom>
      <diagonal/>
    </border>
    <border>
      <left/>
      <right/>
      <top style="medium">
        <color rgb="FF2E7D32"/>
      </top>
      <bottom style="thin">
        <color rgb="FFBFC5CF"/>
      </bottom>
      <diagonal/>
    </border>
    <border>
      <left/>
      <right/>
      <top style="medium">
        <color rgb="FF6A1B9A"/>
      </top>
      <bottom style="thin">
        <color rgb="FFBFC5CF"/>
      </bottom>
      <diagonal/>
    </border>
    <border>
      <left/>
      <right/>
      <top style="medium">
        <color rgb="FFBF5B04"/>
      </top>
      <bottom style="thin">
        <color rgb="FFBFC5CF"/>
      </bottom>
      <diagonal/>
    </border>
    <border>
      <left/>
      <right/>
      <top style="medium">
        <color rgb="FF1F2A44"/>
      </top>
      <bottom style="thin">
        <color rgb="FFBFC5CF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2F5597"/>
      </bottom>
      <diagonal/>
    </border>
    <border>
      <left/>
      <right/>
      <top/>
      <bottom style="medium">
        <color rgb="FF2E7D32"/>
      </bottom>
      <diagonal/>
    </border>
    <border>
      <left/>
      <right/>
      <top/>
      <bottom style="medium">
        <color rgb="FF2E7D32"/>
      </bottom>
      <diagonal/>
    </border>
    <border>
      <left/>
      <right/>
      <top/>
      <bottom style="medium">
        <color rgb="FF1565C0"/>
      </bottom>
      <diagonal/>
    </border>
    <border>
      <left/>
      <right/>
      <top/>
      <bottom style="medium">
        <color rgb="FF1565C0"/>
      </bottom>
      <diagonal/>
    </border>
    <border>
      <left/>
      <right/>
      <top/>
      <bottom style="medium">
        <color rgb="FFBF5B04"/>
      </bottom>
      <diagonal/>
    </border>
    <border>
      <left/>
      <right/>
      <top/>
      <bottom style="medium">
        <color rgb="FFBF5B04"/>
      </bottom>
      <diagonal/>
    </border>
    <border>
      <left/>
      <right/>
      <top/>
      <bottom style="medium">
        <color rgb="FF6A1B9A"/>
      </bottom>
      <diagonal/>
    </border>
    <border>
      <left/>
      <right/>
      <top/>
      <bottom style="medium">
        <color rgb="FF6A1B9A"/>
      </bottom>
      <diagonal/>
    </border>
    <border>
      <left/>
      <right/>
      <top/>
      <bottom style="medium">
        <color rgb="FF1F2A44"/>
      </bottom>
      <diagonal/>
    </border>
    <border>
      <left/>
      <right/>
      <top/>
      <bottom style="thin">
        <color rgb="FFBFC5C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11" fillId="0" borderId="20" xfId="0" applyFont="1" applyBorder="1" applyAlignment="1">
      <alignment horizontal="left"/>
    </xf>
    <xf numFmtId="0" fontId="11" fillId="2" borderId="21" xfId="0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8" borderId="21" xfId="0" applyFont="1" applyFill="1" applyBorder="1" applyAlignment="1">
      <alignment horizontal="center" vertical="center" wrapText="1"/>
    </xf>
    <xf numFmtId="0" fontId="11" fillId="7" borderId="21" xfId="0" applyFont="1" applyFill="1" applyBorder="1" applyAlignment="1">
      <alignment horizontal="center" vertical="center" wrapText="1"/>
    </xf>
    <xf numFmtId="0" fontId="11" fillId="9" borderId="21" xfId="0" applyFont="1" applyFill="1" applyBorder="1" applyAlignment="1">
      <alignment horizontal="left" vertical="center" wrapText="1"/>
    </xf>
    <xf numFmtId="0" fontId="17" fillId="0" borderId="21" xfId="0" applyFont="1" applyBorder="1"/>
    <xf numFmtId="0" fontId="0" fillId="0" borderId="21" xfId="0" applyBorder="1"/>
    <xf numFmtId="0" fontId="4" fillId="0" borderId="2" xfId="0" applyFont="1" applyBorder="1" applyAlignment="1">
      <alignment horizontal="left" vertical="center" indent="1"/>
    </xf>
    <xf numFmtId="0" fontId="18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167" fontId="18" fillId="0" borderId="2" xfId="0" applyNumberFormat="1" applyFont="1" applyBorder="1" applyAlignment="1">
      <alignment horizontal="center" vertical="center"/>
    </xf>
    <xf numFmtId="9" fontId="18" fillId="0" borderId="2" xfId="0" applyNumberFormat="1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4" fontId="18" fillId="0" borderId="2" xfId="0" applyNumberFormat="1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24" fillId="0" borderId="0" xfId="0" applyFont="1"/>
    <xf numFmtId="0" fontId="0" fillId="10" borderId="0" xfId="0" applyFill="1"/>
    <xf numFmtId="0" fontId="19" fillId="0" borderId="2" xfId="0" applyFont="1" applyBorder="1" applyAlignment="1">
      <alignment horizontal="center" vertical="center"/>
    </xf>
    <xf numFmtId="0" fontId="20" fillId="0" borderId="0" xfId="0" applyFont="1"/>
    <xf numFmtId="0" fontId="0" fillId="11" borderId="0" xfId="0" applyFill="1"/>
    <xf numFmtId="0" fontId="21" fillId="12" borderId="0" xfId="0" applyFont="1" applyFill="1" applyAlignment="1">
      <alignment vertical="center" wrapText="1" indent="1"/>
    </xf>
    <xf numFmtId="0" fontId="0" fillId="13" borderId="0" xfId="0" applyFill="1"/>
    <xf numFmtId="0" fontId="19" fillId="12" borderId="0" xfId="0" applyFont="1" applyFill="1" applyAlignment="1">
      <alignment vertical="center" wrapText="1" indent="1"/>
    </xf>
    <xf numFmtId="0" fontId="0" fillId="14" borderId="0" xfId="0" applyFill="1"/>
    <xf numFmtId="0" fontId="22" fillId="12" borderId="0" xfId="0" applyFont="1" applyFill="1" applyAlignment="1">
      <alignment vertical="center" wrapText="1" indent="1"/>
    </xf>
    <xf numFmtId="0" fontId="0" fillId="15" borderId="0" xfId="0" applyFill="1"/>
    <xf numFmtId="0" fontId="4" fillId="12" borderId="0" xfId="0" applyFont="1" applyFill="1" applyAlignment="1">
      <alignment vertical="center" wrapText="1" indent="1"/>
    </xf>
    <xf numFmtId="0" fontId="17" fillId="0" borderId="0" xfId="0" applyFont="1"/>
    <xf numFmtId="0" fontId="23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4" fontId="5" fillId="4" borderId="2" xfId="0" applyNumberFormat="1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3" fontId="5" fillId="0" borderId="2" xfId="0" applyNumberFormat="1" applyFont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4" fontId="5" fillId="0" borderId="2" xfId="0" applyNumberFormat="1" applyFont="1" applyBorder="1" applyAlignment="1">
      <alignment vertical="center"/>
    </xf>
    <xf numFmtId="4" fontId="2" fillId="3" borderId="2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/>
    </xf>
    <xf numFmtId="0" fontId="0" fillId="0" borderId="11" xfId="0" applyBorder="1"/>
    <xf numFmtId="0" fontId="10" fillId="0" borderId="16" xfId="0" applyFont="1" applyBorder="1" applyAlignment="1">
      <alignment horizontal="left"/>
    </xf>
    <xf numFmtId="0" fontId="0" fillId="0" borderId="17" xfId="0" applyBorder="1"/>
    <xf numFmtId="0" fontId="18" fillId="12" borderId="0" xfId="0" applyFont="1" applyFill="1" applyAlignment="1">
      <alignment vertical="center" wrapText="1"/>
    </xf>
    <xf numFmtId="0" fontId="0" fillId="0" borderId="0" xfId="0"/>
    <xf numFmtId="0" fontId="7" fillId="0" borderId="14" xfId="0" applyFont="1" applyBorder="1" applyAlignment="1">
      <alignment horizontal="left"/>
    </xf>
    <xf numFmtId="0" fontId="0" fillId="0" borderId="15" xfId="0" applyBorder="1"/>
    <xf numFmtId="0" fontId="8" fillId="0" borderId="12" xfId="0" applyFont="1" applyBorder="1" applyAlignment="1">
      <alignment horizontal="left"/>
    </xf>
    <xf numFmtId="0" fontId="0" fillId="0" borderId="13" xfId="0" applyBorder="1"/>
    <xf numFmtId="0" fontId="9" fillId="0" borderId="18" xfId="0" applyFont="1" applyBorder="1" applyAlignment="1">
      <alignment horizontal="left"/>
    </xf>
    <xf numFmtId="0" fontId="0" fillId="0" borderId="19" xfId="0" applyBorder="1"/>
    <xf numFmtId="0" fontId="15" fillId="4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11"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ont>
        <b/>
        <color rgb="FF1F4E78"/>
        <name val="Arial"/>
      </font>
      <fill>
        <patternFill patternType="solid">
          <fgColor rgb="FFDDEBF7"/>
        </patternFill>
      </fill>
    </dxf>
    <dxf>
      <font>
        <b/>
        <color rgb="FFC62828"/>
        <name val="Arial"/>
      </font>
    </dxf>
    <dxf>
      <font>
        <b/>
        <color rgb="FF2E7D32"/>
        <name val="Arial"/>
      </font>
    </dxf>
    <dxf>
      <font>
        <b/>
        <color rgb="FF2E7D32"/>
        <name val="Arial"/>
      </font>
    </dxf>
    <dxf>
      <font>
        <b/>
        <color rgb="FFC62828"/>
        <name val="Arial"/>
      </font>
      <fill>
        <patternFill patternType="solid">
          <fgColor rgb="FFFDE0DC"/>
        </patternFill>
      </fill>
    </dxf>
    <dxf>
      <font>
        <b/>
        <color rgb="FFC62828"/>
        <name val="Arial"/>
      </font>
    </dxf>
    <dxf>
      <font>
        <b/>
        <color rgb="FF2E7D32"/>
        <name val="Arial"/>
      </font>
    </dxf>
    <dxf>
      <font>
        <color rgb="FFB0B4BC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5B9BD5"/>
            </a:solidFill>
            <a:ln>
              <a:noFill/>
              <a:prstDash val="solid"/>
            </a:ln>
          </c:spPr>
          <c:invertIfNegative val="1"/>
          <c:cat>
            <c:strRef>
              <c:f>Resumo!$S$9:$S$18</c:f>
              <c:strCache>
                <c:ptCount val="10"/>
                <c:pt idx="0">
                  <c:v>Batch · g6.12xl</c:v>
                </c:pt>
                <c:pt idx="1">
                  <c:v>Batch · g6.12xl · frac</c:v>
                </c:pt>
                <c:pt idx="2">
                  <c:v>Batch · g5.12xl</c:v>
                </c:pt>
                <c:pt idx="3">
                  <c:v>Batch · g5.12xl · frac</c:v>
                </c:pt>
                <c:pt idx="5">
                  <c:v>Async · g6.12xl</c:v>
                </c:pt>
                <c:pt idx="6">
                  <c:v>Async · g6.12xl · frac</c:v>
                </c:pt>
                <c:pt idx="7">
                  <c:v>Async · g5.12xl</c:v>
                </c:pt>
                <c:pt idx="8">
                  <c:v>Async · g5.12xl · frac</c:v>
                </c:pt>
                <c:pt idx="9">
                  <c:v>Async · p5e.48xl</c:v>
                </c:pt>
              </c:strCache>
            </c:strRef>
          </c:cat>
          <c:val>
            <c:numRef>
              <c:f>Resumo!$D$9:$D$18</c:f>
              <c:numCache>
                <c:formatCode>#,##0</c:formatCode>
                <c:ptCount val="10"/>
                <c:pt idx="0">
                  <c:v>176</c:v>
                </c:pt>
                <c:pt idx="1">
                  <c:v>0</c:v>
                </c:pt>
                <c:pt idx="2">
                  <c:v>211</c:v>
                </c:pt>
                <c:pt idx="3">
                  <c:v>0</c:v>
                </c:pt>
                <c:pt idx="5">
                  <c:v>173</c:v>
                </c:pt>
                <c:pt idx="6">
                  <c:v>80</c:v>
                </c:pt>
                <c:pt idx="7">
                  <c:v>0</c:v>
                </c:pt>
                <c:pt idx="8">
                  <c:v>0</c:v>
                </c:pt>
                <c:pt idx="9">
                  <c:v>2316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115-45D8-B891-E7FFDA9A2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41</xdr:row>
      <xdr:rowOff>0</xdr:rowOff>
    </xdr:from>
    <xdr:ext cx="79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es" displayName="Testes" ref="A2:AR20">
  <autoFilter ref="A2:AR20" xr:uid="{00000000-0009-0000-0100-000001000000}"/>
  <tableColumns count="44">
    <tableColumn id="1" xr3:uid="{00000000-0010-0000-0000-000001000000}" name="ID"/>
    <tableColumn id="2" xr3:uid="{00000000-0010-0000-0000-000002000000}" name="Data"/>
    <tableColumn id="3" xr3:uid="{00000000-0010-0000-0000-000003000000}" name="Serviço"/>
    <tableColumn id="4" xr3:uid="{00000000-0010-0000-0000-000004000000}" name="Instância"/>
    <tableColumn id="5" xr3:uid="{00000000-0010-0000-0000-000005000000}" name="Fracionamento"/>
    <tableColumn id="6" xr3:uid="{00000000-0010-0000-0000-000006000000}" name="Teste"/>
    <tableColumn id="7" xr3:uid="{00000000-0010-0000-0000-000007000000}" name="GPU"/>
    <tableColumn id="8" xr3:uid="{00000000-0010-0000-0000-000008000000}" name="num_gpus por réplica"/>
    <tableColumn id="9" xr3:uid="{00000000-0010-0000-0000-000009000000}" name="Réplicas"/>
    <tableColumn id="10" xr3:uid="{00000000-0010-0000-0000-00000A000000}" name="Concorrência"/>
    <tableColumn id="11" xr3:uid="{00000000-0010-0000-0000-00000B000000}" name="Linhas por req./arquivo"/>
    <tableColumn id="12" xr3:uid="{00000000-0010-0000-0000-00000C000000}" name="Itens ok"/>
    <tableColumn id="13" xr3:uid="{00000000-0010-0000-0000-00000D000000}" name="Itens total"/>
    <tableColumn id="14" xr3:uid="{00000000-0010-0000-0000-00000E000000}" name="% ok"/>
    <tableColumn id="15" xr3:uid="{00000000-0010-0000-0000-00000F000000}" name="Linhas processadas"/>
    <tableColumn id="16" xr3:uid="{00000000-0010-0000-0000-000010000000}" name="Provisionamento (min)"/>
    <tableColumn id="17" xr3:uid="{00000000-0010-0000-0000-000011000000}" name="Processamento (min)"/>
    <tableColumn id="18" xr3:uid="{00000000-0010-0000-0000-000012000000}" name="Tempo total (min)"/>
    <tableColumn id="19" xr3:uid="{00000000-0010-0000-0000-000013000000}" name="Throughput processamento (linhas/s)"/>
    <tableColumn id="20" xr3:uid="{00000000-0010-0000-0000-000014000000}" name="Throughput total (linhas/s)"/>
    <tableColumn id="21" xr3:uid="{00000000-0010-0000-0000-000015000000}" name="Latência média por req. (s)"/>
    <tableColumn id="22" xr3:uid="{00000000-0010-0000-0000-000016000000}" name="ModelLatency (s)"/>
    <tableColumn id="23" xr3:uid="{00000000-0010-0000-0000-000017000000}" name="Falhas"/>
    <tableColumn id="24" xr3:uid="{00000000-0010-0000-0000-000018000000}" name="GPU média %"/>
    <tableColumn id="25" xr3:uid="{00000000-0010-0000-0000-000019000000}" name="GPU pico %"/>
    <tableColumn id="26" xr3:uid="{00000000-0010-0000-0000-00001A000000}" name="Mem. GPU média %"/>
    <tableColumn id="27" xr3:uid="{00000000-0010-0000-0000-00001B000000}" name="Mem. GPU pico %"/>
    <tableColumn id="28" xr3:uid="{00000000-0010-0000-0000-00001C000000}" name="CPU média %"/>
    <tableColumn id="29" xr3:uid="{00000000-0010-0000-0000-00001D000000}" name="CPU pico %"/>
    <tableColumn id="30" xr3:uid="{00000000-0010-0000-0000-00001E000000}" name="RAM média %"/>
    <tableColumn id="31" xr3:uid="{00000000-0010-0000-0000-00001F000000}" name="RAM pico %"/>
    <tableColumn id="32" xr3:uid="{00000000-0010-0000-0000-000020000000}" name="Nº GPUs"/>
    <tableColumn id="33" xr3:uid="{00000000-0010-0000-0000-000021000000}" name="vCPUs"/>
    <tableColumn id="34" xr3:uid="{00000000-0010-0000-0000-000022000000}" name="GPU média /GPU"/>
    <tableColumn id="35" xr3:uid="{00000000-0010-0000-0000-000023000000}" name="GPU pico /GPU"/>
    <tableColumn id="36" xr3:uid="{00000000-0010-0000-0000-000024000000}" name="Mem. GPU média /GPU"/>
    <tableColumn id="37" xr3:uid="{00000000-0010-0000-0000-000025000000}" name="Mem. GPU pico /GPU"/>
    <tableColumn id="38" xr3:uid="{00000000-0010-0000-0000-000026000000}" name="CPU média /vCPU"/>
    <tableColumn id="39" xr3:uid="{00000000-0010-0000-0000-000027000000}" name="Custo informado (USD)"/>
    <tableColumn id="40" xr3:uid="{00000000-0010-0000-0000-000028000000}" name="Preço/h (USD)"/>
    <tableColumn id="41" xr3:uid="{00000000-0010-0000-0000-000029000000}" name="Custo (USD)"/>
    <tableColumn id="42" xr3:uid="{00000000-0010-0000-0000-00002A000000}" name="Custo por 1M linhas (USD)"/>
    <tableColumn id="43" xr3:uid="{00000000-0010-0000-0000-00002B000000}" name="Status"/>
    <tableColumn id="44" xr3:uid="{00000000-0010-0000-0000-00002C000000}" name="Observaçõe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showGridLines="0" tabSelected="1" zoomScale="90" workbookViewId="0"/>
  </sheetViews>
  <sheetFormatPr defaultRowHeight="15" x14ac:dyDescent="0.25"/>
  <cols>
    <col min="1" max="1" width="1.42578125" customWidth="1"/>
    <col min="2" max="2" width="54" customWidth="1"/>
    <col min="3" max="3" width="14" customWidth="1"/>
    <col min="4" max="5" width="13" customWidth="1"/>
    <col min="6" max="6" width="10" customWidth="1"/>
    <col min="7" max="7" width="11" customWidth="1"/>
    <col min="8" max="8" width="12" customWidth="1"/>
    <col min="9" max="9" width="8" customWidth="1"/>
    <col min="10" max="10" width="10" customWidth="1"/>
    <col min="11" max="12" width="11" customWidth="1"/>
    <col min="13" max="13" width="10" customWidth="1"/>
    <col min="14" max="14" width="11" customWidth="1"/>
    <col min="15" max="15" width="12" customWidth="1"/>
    <col min="16" max="16" width="34" customWidth="1"/>
    <col min="17" max="17" width="3" customWidth="1"/>
    <col min="19" max="19" width="13" hidden="1" customWidth="1"/>
  </cols>
  <sheetData>
    <row r="1" spans="1:19" ht="33.950000000000003" customHeight="1" x14ac:dyDescent="0.4">
      <c r="B1" s="1" t="s">
        <v>0</v>
      </c>
    </row>
    <row r="2" spans="1:19" x14ac:dyDescent="0.25">
      <c r="B2" s="2" t="s">
        <v>1</v>
      </c>
    </row>
    <row r="4" spans="1:19" ht="26.1" customHeight="1" x14ac:dyDescent="0.25">
      <c r="B4" s="3" t="s">
        <v>2</v>
      </c>
      <c r="C4" s="72" t="s">
        <v>3</v>
      </c>
      <c r="D4" s="73"/>
      <c r="E4" s="4" t="s">
        <v>4</v>
      </c>
    </row>
    <row r="6" spans="1:19" x14ac:dyDescent="0.25">
      <c r="B6" s="60" t="s">
        <v>5</v>
      </c>
      <c r="C6" s="61"/>
      <c r="D6" s="68" t="s">
        <v>6</v>
      </c>
      <c r="E6" s="69"/>
      <c r="F6" s="69"/>
      <c r="G6" s="69"/>
      <c r="H6" s="66" t="s">
        <v>7</v>
      </c>
      <c r="I6" s="67"/>
      <c r="J6" s="62" t="s">
        <v>8</v>
      </c>
      <c r="K6" s="63"/>
      <c r="L6" s="63"/>
      <c r="M6" s="70" t="s">
        <v>9</v>
      </c>
      <c r="N6" s="71"/>
      <c r="O6" s="71"/>
      <c r="P6" s="5"/>
    </row>
    <row r="7" spans="1:19" ht="36" customHeight="1" x14ac:dyDescent="0.25">
      <c r="B7" s="6" t="s">
        <v>10</v>
      </c>
      <c r="C7" s="7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9" t="s">
        <v>16</v>
      </c>
      <c r="I7" s="9" t="s">
        <v>17</v>
      </c>
      <c r="J7" s="10" t="s">
        <v>18</v>
      </c>
      <c r="K7" s="10" t="s">
        <v>19</v>
      </c>
      <c r="L7" s="10" t="s">
        <v>20</v>
      </c>
      <c r="M7" s="11" t="s">
        <v>21</v>
      </c>
      <c r="N7" s="11" t="s">
        <v>22</v>
      </c>
      <c r="O7" s="11" t="s">
        <v>23</v>
      </c>
      <c r="P7" s="12" t="s">
        <v>24</v>
      </c>
    </row>
    <row r="8" spans="1:19" ht="26.1" customHeight="1" x14ac:dyDescent="0.25">
      <c r="B8" s="13" t="s">
        <v>25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9" ht="24" customHeight="1" x14ac:dyDescent="0.25">
      <c r="B9" s="15" t="str">
        <f>"g6.12xlarge   "&amp;INDEX(Instancias!$C$2:$C$4,MATCH("ml.g6.12xlarge",Instancias!$A$2:$A$4,0))&amp;"× "&amp;SUBSTITUTE(INDEX(Instancias!$B$2:$B$4,MATCH("ml.g6.12xlarge",Instancias!$A$2:$A$4,0)),"NVIDIA ","")&amp;" · "&amp;INDEX(Instancias!$E$2:$E$4,MATCH("ml.g6.12xlarge",Instancias!$A$2:$A$4,0))&amp;" GB GPU · "&amp;INDEX(Instancias!$F$2:$F$4,MATCH("ml.g6.12xlarge",Instancias!$A$2:$A$4,0))&amp;" vCPU · "&amp;INDEX(Instancias!$G$2:$G$4,MATCH("ml.g6.12xlarge",Instancias!$A$2:$A$4,0))&amp;" GiB"</f>
        <v>g6.12xlarge   4× L4 · 96 GB GPU · 48 vCPU · 192 GiB</v>
      </c>
      <c r="C9" s="16" t="s">
        <v>26</v>
      </c>
      <c r="D9" s="17">
        <f>IF(COUNTIFS(Testes[Serviço],"Batch",Testes[Instância],"ml.g6.12xlarge",Testes[Fracionamento],"Não",Testes[Teste],$C$4)=0,"",IFERROR(AVERAGEIFS(Testes[Throughput processamento (linhas/s)],Testes[Serviço],"Batch",Testes[Instância],"ml.g6.12xlarge",Testes[Fracionamento],"Não",Testes[Teste],$C$4),""))</f>
        <v>176</v>
      </c>
      <c r="E9" s="18" t="str">
        <f>IF(OR(NOT(ISNUMBER(D9)),NOT(ISNUMBER(D9))),"",IF(ROW()=9,"base",D9/D9-1))</f>
        <v>base</v>
      </c>
      <c r="F9" s="19">
        <f>IF(COUNTIFS(Testes[Serviço],"Batch",Testes[Instância],"ml.g6.12xlarge",Testes[Fracionamento],"Não",Testes[Teste],$C$4)=0,"",IFERROR(AVERAGEIFS(Testes[Tempo total (min)],Testes[Serviço],"Batch",Testes[Instância],"ml.g6.12xlarge",Testes[Fracionamento],"Não",Testes[Teste],$C$4)/1440,""))</f>
        <v>6.8750000000000006E-2</v>
      </c>
      <c r="G9" s="19">
        <f>IF(ISNUMBER(D9),24000000/D9/86400,"")</f>
        <v>1.5782828282828281</v>
      </c>
      <c r="H9" s="20">
        <f>IF(COUNTIFS(Testes[Serviço],"Batch",Testes[Instância],"ml.g6.12xlarge",Testes[Fracionamento],"Não",Testes[Teste],$C$4)=0,"",IFERROR(AVERAGEIFS(Testes[% ok],Testes[Serviço],"Batch",Testes[Instância],"ml.g6.12xlarge",Testes[Fracionamento],"Não",Testes[Teste],$C$4),""))</f>
        <v>1</v>
      </c>
      <c r="I9" s="21">
        <f>IF(COUNTIFS(Testes[Serviço],"Batch",Testes[Instância],"ml.g6.12xlarge",Testes[Fracionamento],"Não",Testes[Teste],$C$4)=0,"",SUMIFS(Testes[Falhas],Testes[Serviço],"Batch",Testes[Instância],"ml.g6.12xlarge",Testes[Fracionamento],"Não",Testes[Teste],$C$4))</f>
        <v>0</v>
      </c>
      <c r="J9" s="22">
        <f>IF(COUNTIFS(Testes[Serviço],"Batch",Testes[Instância],"ml.g6.12xlarge",Testes[Fracionamento],"Não",Testes[Teste],$C$4)=0,"",IFERROR(AVERAGEIFS(Testes[Custo (USD)],Testes[Serviço],"Batch",Testes[Instância],"ml.g6.12xlarge",Testes[Fracionamento],"Não",Testes[Teste],$C$4),""))</f>
        <v>8.6300000000000008</v>
      </c>
      <c r="K9" s="22">
        <f>IF(COUNTIFS(Testes[Serviço],"Batch",Testes[Instância],"ml.g6.12xlarge",Testes[Fracionamento],"Não",Testes[Teste],$C$4)=0,"",IFERROR(AVERAGEIFS(Testes[Custo por 1M linhas (USD)],Testes[Serviço],"Batch",Testes[Instância],"ml.g6.12xlarge",Testes[Fracionamento],"Não",Testes[Teste],$C$4),""))</f>
        <v>9.0539702656285908</v>
      </c>
      <c r="L9" s="23">
        <f>IF(ISNUMBER(K9),K9*24,"")</f>
        <v>217.29528637508616</v>
      </c>
      <c r="M9" s="20">
        <f>IF(COUNTIFS(Testes[Serviço],"Batch",Testes[Instância],"ml.g6.12xlarge",Testes[Fracionamento],"Não",Testes[Teste],$C$4)=0,"",IFERROR(AVERAGEIFS(Testes[GPU média /GPU],Testes[Serviço],"Batch",Testes[Instância],"ml.g6.12xlarge",Testes[Fracionamento],"Não",Testes[Teste],$C$4),""))</f>
        <v>0.95750000000000002</v>
      </c>
      <c r="N9" s="20">
        <f>IF(COUNTIFS(Testes[Serviço],"Batch",Testes[Instância],"ml.g6.12xlarge",Testes[Fracionamento],"Não",Testes[Teste],$C$4)=0,"",IFERROR(AVERAGEIFS(Testes[Mem. GPU média /GPU],Testes[Serviço],"Batch",Testes[Instância],"ml.g6.12xlarge",Testes[Fracionamento],"Não",Testes[Teste],$C$4),""))</f>
        <v>0.13699999999999998</v>
      </c>
      <c r="O9" s="21" t="str">
        <f>IF(COUNTIFS(Testes[Serviço],"Batch",Testes[Instância],"ml.g6.12xlarge",Testes[Fracionamento],"Não",Testes[Teste],$C$4)=0,"",IFERROR(AVERAGEIFS(Testes[ModelLatency (s)],Testes[Serviço],"Batch",Testes[Instância],"ml.g6.12xlarge",Testes[Fracionamento],"Não",Testes[Teste],$C$4),""))</f>
        <v/>
      </c>
      <c r="P9" s="24" t="str">
        <f>IF(NOT(ISNUMBER(D9)),"não testado",IF(ROW()=9,"referência"&amp;IF(I9&gt;0," · "&amp;I9&amp;" falha(s)",""),IF(E9&gt;=1,TEXT(1+E9,"0")&amp;"× mais rápida",IF(E9&gt;=0.1,"mais rápida ("&amp;TEXT(E9,"+0%")&amp;")",IF(E9&lt;=-0.05,"mais lenta ("&amp;TEXT(E9,"0%")&amp;")","parecida ("&amp;TEXT(E9,"+0%;-0%")&amp;")")))&amp;IF(N(H9)&lt;0.95," · só "&amp;TEXT(H9,"0%")&amp;" ok",IF(I9&gt;0," · "&amp;I9&amp;" falha(s)",""))))</f>
        <v>referência</v>
      </c>
      <c r="S9" s="25" t="s">
        <v>27</v>
      </c>
    </row>
    <row r="10" spans="1:19" ht="24" customHeight="1" x14ac:dyDescent="0.25">
      <c r="A10" s="26"/>
      <c r="B10" s="15" t="str">
        <f>"g6.12xlarge   "&amp;INDEX(Instancias!$C$2:$C$4,MATCH("ml.g6.12xlarge",Instancias!$A$2:$A$4,0))&amp;"× "&amp;SUBSTITUTE(INDEX(Instancias!$B$2:$B$4,MATCH("ml.g6.12xlarge",Instancias!$A$2:$A$4,0)),"NVIDIA ","")&amp;" · "&amp;INDEX(Instancias!$E$2:$E$4,MATCH("ml.g6.12xlarge",Instancias!$A$2:$A$4,0))&amp;" GB GPU · "&amp;INDEX(Instancias!$F$2:$F$4,MATCH("ml.g6.12xlarge",Instancias!$A$2:$A$4,0))&amp;" vCPU · "&amp;INDEX(Instancias!$G$2:$G$4,MATCH("ml.g6.12xlarge",Instancias!$A$2:$A$4,0))&amp;" GiB"</f>
        <v>g6.12xlarge   4× L4 · 96 GB GPU · 48 vCPU · 192 GiB</v>
      </c>
      <c r="C10" s="27" t="s">
        <v>28</v>
      </c>
      <c r="D10" s="17" t="str">
        <f>IF(COUNTIFS(Testes[Serviço],"Batch",Testes[Instância],"ml.g6.12xlarge",Testes[Fracionamento],"Sim",Testes[Teste],$C$4)=0,"",IFERROR(AVERAGEIFS(Testes[Throughput processamento (linhas/s)],Testes[Serviço],"Batch",Testes[Instância],"ml.g6.12xlarge",Testes[Fracionamento],"Sim",Testes[Teste],$C$4),""))</f>
        <v/>
      </c>
      <c r="E10" s="18" t="str">
        <f>IF(OR(NOT(ISNUMBER(D10)),NOT(ISNUMBER(D9))),"",IF(ROW()=9,"base",D10/D9-1))</f>
        <v/>
      </c>
      <c r="F10" s="19" t="str">
        <f>IF(COUNTIFS(Testes[Serviço],"Batch",Testes[Instância],"ml.g6.12xlarge",Testes[Fracionamento],"Sim",Testes[Teste],$C$4)=0,"",IFERROR(AVERAGEIFS(Testes[Tempo total (min)],Testes[Serviço],"Batch",Testes[Instância],"ml.g6.12xlarge",Testes[Fracionamento],"Sim",Testes[Teste],$C$4)/1440,""))</f>
        <v/>
      </c>
      <c r="G10" s="19" t="str">
        <f>IF(ISNUMBER(D10),24000000/D10/86400,"")</f>
        <v/>
      </c>
      <c r="H10" s="20" t="str">
        <f>IF(COUNTIFS(Testes[Serviço],"Batch",Testes[Instância],"ml.g6.12xlarge",Testes[Fracionamento],"Sim",Testes[Teste],$C$4)=0,"",IFERROR(AVERAGEIFS(Testes[% ok],Testes[Serviço],"Batch",Testes[Instância],"ml.g6.12xlarge",Testes[Fracionamento],"Sim",Testes[Teste],$C$4),""))</f>
        <v/>
      </c>
      <c r="I10" s="21" t="str">
        <f>IF(COUNTIFS(Testes[Serviço],"Batch",Testes[Instância],"ml.g6.12xlarge",Testes[Fracionamento],"Sim",Testes[Teste],$C$4)=0,"",SUMIFS(Testes[Falhas],Testes[Serviço],"Batch",Testes[Instância],"ml.g6.12xlarge",Testes[Fracionamento],"Sim",Testes[Teste],$C$4))</f>
        <v/>
      </c>
      <c r="J10" s="22" t="str">
        <f>IF(COUNTIFS(Testes[Serviço],"Batch",Testes[Instância],"ml.g6.12xlarge",Testes[Fracionamento],"Sim",Testes[Teste],$C$4)=0,"",IFERROR(AVERAGEIFS(Testes[Custo (USD)],Testes[Serviço],"Batch",Testes[Instância],"ml.g6.12xlarge",Testes[Fracionamento],"Sim",Testes[Teste],$C$4),""))</f>
        <v/>
      </c>
      <c r="K10" s="22" t="str">
        <f>IF(COUNTIFS(Testes[Serviço],"Batch",Testes[Instância],"ml.g6.12xlarge",Testes[Fracionamento],"Sim",Testes[Teste],$C$4)=0,"",IFERROR(AVERAGEIFS(Testes[Custo por 1M linhas (USD)],Testes[Serviço],"Batch",Testes[Instância],"ml.g6.12xlarge",Testes[Fracionamento],"Sim",Testes[Teste],$C$4),""))</f>
        <v/>
      </c>
      <c r="L10" s="23" t="str">
        <f>IF(ISNUMBER(K10),K10*24,"")</f>
        <v/>
      </c>
      <c r="M10" s="20" t="str">
        <f>IF(COUNTIFS(Testes[Serviço],"Batch",Testes[Instância],"ml.g6.12xlarge",Testes[Fracionamento],"Sim",Testes[Teste],$C$4)=0,"",IFERROR(AVERAGEIFS(Testes[GPU média /GPU],Testes[Serviço],"Batch",Testes[Instância],"ml.g6.12xlarge",Testes[Fracionamento],"Sim",Testes[Teste],$C$4),""))</f>
        <v/>
      </c>
      <c r="N10" s="20" t="str">
        <f>IF(COUNTIFS(Testes[Serviço],"Batch",Testes[Instância],"ml.g6.12xlarge",Testes[Fracionamento],"Sim",Testes[Teste],$C$4)=0,"",IFERROR(AVERAGEIFS(Testes[Mem. GPU média /GPU],Testes[Serviço],"Batch",Testes[Instância],"ml.g6.12xlarge",Testes[Fracionamento],"Sim",Testes[Teste],$C$4),""))</f>
        <v/>
      </c>
      <c r="O10" s="21" t="str">
        <f>IF(COUNTIFS(Testes[Serviço],"Batch",Testes[Instância],"ml.g6.12xlarge",Testes[Fracionamento],"Sim",Testes[Teste],$C$4)=0,"",IFERROR(AVERAGEIFS(Testes[ModelLatency (s)],Testes[Serviço],"Batch",Testes[Instância],"ml.g6.12xlarge",Testes[Fracionamento],"Sim",Testes[Teste],$C$4),""))</f>
        <v/>
      </c>
      <c r="P10" s="24" t="str">
        <f>IF(NOT(ISNUMBER(D10)),"não testado",IF(ROW()=9,"referência"&amp;IF(I10&gt;0," · "&amp;I10&amp;" falha(s)",""),IF(E10&gt;=1,TEXT(1+E10,"0")&amp;"× mais rápida",IF(E10&gt;=0.1,"mais rápida ("&amp;TEXT(E10,"+0%")&amp;")",IF(E10&lt;=-0.05,"mais lenta ("&amp;TEXT(E10,"0%")&amp;")","parecida ("&amp;TEXT(E10,"+0%;-0%")&amp;")")))&amp;IF(N(H10)&lt;0.95," · só "&amp;TEXT(H10,"0%")&amp;" ok",IF(I10&gt;0," · "&amp;I10&amp;" falha(s)",""))))</f>
        <v>não testado</v>
      </c>
      <c r="S10" s="25" t="s">
        <v>29</v>
      </c>
    </row>
    <row r="11" spans="1:19" ht="24" customHeight="1" x14ac:dyDescent="0.25">
      <c r="B11" s="15" t="str">
        <f>"g5.12xlarge   "&amp;INDEX(Instancias!$C$2:$C$4,MATCH("ml.g5.12xlarge",Instancias!$A$2:$A$4,0))&amp;"× "&amp;SUBSTITUTE(INDEX(Instancias!$B$2:$B$4,MATCH("ml.g5.12xlarge",Instancias!$A$2:$A$4,0)),"NVIDIA ","")&amp;" · "&amp;INDEX(Instancias!$E$2:$E$4,MATCH("ml.g5.12xlarge",Instancias!$A$2:$A$4,0))&amp;" GB GPU · "&amp;INDEX(Instancias!$F$2:$F$4,MATCH("ml.g5.12xlarge",Instancias!$A$2:$A$4,0))&amp;" vCPU · "&amp;INDEX(Instancias!$G$2:$G$4,MATCH("ml.g5.12xlarge",Instancias!$A$2:$A$4,0))&amp;" GiB"</f>
        <v>g5.12xlarge   4× A10G · 96 GB GPU · 48 vCPU · 192 GiB</v>
      </c>
      <c r="C11" s="16" t="s">
        <v>26</v>
      </c>
      <c r="D11" s="17">
        <f>IF(COUNTIFS(Testes[Serviço],"Batch",Testes[Instância],"ml.g5.12xlarge",Testes[Fracionamento],"Não",Testes[Teste],$C$4)=0,"",IFERROR(AVERAGEIFS(Testes[Throughput processamento (linhas/s)],Testes[Serviço],"Batch",Testes[Instância],"ml.g5.12xlarge",Testes[Fracionamento],"Não",Testes[Teste],$C$4),""))</f>
        <v>211</v>
      </c>
      <c r="E11" s="18">
        <f>IF(OR(NOT(ISNUMBER(D11)),NOT(ISNUMBER(D9))),"",IF(ROW()=9,"base",D11/D9-1))</f>
        <v>0.19886363636363646</v>
      </c>
      <c r="F11" s="19">
        <f>IF(COUNTIFS(Testes[Serviço],"Batch",Testes[Instância],"ml.g5.12xlarge",Testes[Fracionamento],"Não",Testes[Teste],$C$4)=0,"",IFERROR(AVERAGEIFS(Testes[Tempo total (min)],Testes[Serviço],"Batch",Testes[Instância],"ml.g5.12xlarge",Testes[Fracionamento],"Não",Testes[Teste],$C$4)/1440,""))</f>
        <v>5.7638888888888892E-2</v>
      </c>
      <c r="G11" s="19">
        <f>IF(ISNUMBER(D11),24000000/D11/86400,"")</f>
        <v>1.3164823591363877</v>
      </c>
      <c r="H11" s="20">
        <f>IF(COUNTIFS(Testes[Serviço],"Batch",Testes[Instância],"ml.g5.12xlarge",Testes[Fracionamento],"Não",Testes[Teste],$C$4)=0,"",IFERROR(AVERAGEIFS(Testes[% ok],Testes[Serviço],"Batch",Testes[Instância],"ml.g5.12xlarge",Testes[Fracionamento],"Não",Testes[Teste],$C$4),""))</f>
        <v>1</v>
      </c>
      <c r="I11" s="21">
        <f>IF(COUNTIFS(Testes[Serviço],"Batch",Testes[Instância],"ml.g5.12xlarge",Testes[Fracionamento],"Não",Testes[Teste],$C$4)=0,"",SUMIFS(Testes[Falhas],Testes[Serviço],"Batch",Testes[Instância],"ml.g5.12xlarge",Testes[Fracionamento],"Não",Testes[Teste],$C$4))</f>
        <v>0</v>
      </c>
      <c r="J11" s="22">
        <f>IF(COUNTIFS(Testes[Serviço],"Batch",Testes[Instância],"ml.g5.12xlarge",Testes[Fracionamento],"Não",Testes[Teste],$C$4)=0,"",IFERROR(AVERAGEIFS(Testes[Custo (USD)],Testes[Serviço],"Batch",Testes[Instância],"ml.g5.12xlarge",Testes[Fracionamento],"Não",Testes[Teste],$C$4),""))</f>
        <v>8.86</v>
      </c>
      <c r="K11" s="22">
        <f>IF(COUNTIFS(Testes[Serviço],"Batch",Testes[Instância],"ml.g5.12xlarge",Testes[Fracionamento],"Não",Testes[Teste],$C$4)=0,"",IFERROR(AVERAGEIFS(Testes[Custo por 1M linhas (USD)],Testes[Serviço],"Batch",Testes[Instância],"ml.g5.12xlarge",Testes[Fracionamento],"Não",Testes[Teste],$C$4),""))</f>
        <v>9.2952695890462689</v>
      </c>
      <c r="L11" s="23">
        <f>IF(ISNUMBER(K11),K11*24,"")</f>
        <v>223.08647013711044</v>
      </c>
      <c r="M11" s="20">
        <f>IF(COUNTIFS(Testes[Serviço],"Batch",Testes[Instância],"ml.g5.12xlarge",Testes[Fracionamento],"Não",Testes[Teste],$C$4)=0,"",IFERROR(AVERAGEIFS(Testes[GPU média /GPU],Testes[Serviço],"Batch",Testes[Instância],"ml.g5.12xlarge",Testes[Fracionamento],"Não",Testes[Teste],$C$4),""))</f>
        <v>0.6925</v>
      </c>
      <c r="N11" s="20">
        <f>IF(COUNTIFS(Testes[Serviço],"Batch",Testes[Instância],"ml.g5.12xlarge",Testes[Fracionamento],"Não",Testes[Teste],$C$4)=0,"",IFERROR(AVERAGEIFS(Testes[Mem. GPU média /GPU],Testes[Serviço],"Batch",Testes[Instância],"ml.g5.12xlarge",Testes[Fracionamento],"Não",Testes[Teste],$C$4),""))</f>
        <v>9.6250000000000002E-2</v>
      </c>
      <c r="O11" s="21" t="str">
        <f>IF(COUNTIFS(Testes[Serviço],"Batch",Testes[Instância],"ml.g5.12xlarge",Testes[Fracionamento],"Não",Testes[Teste],$C$4)=0,"",IFERROR(AVERAGEIFS(Testes[ModelLatency (s)],Testes[Serviço],"Batch",Testes[Instância],"ml.g5.12xlarge",Testes[Fracionamento],"Não",Testes[Teste],$C$4),""))</f>
        <v/>
      </c>
      <c r="P11" s="24" t="str">
        <f>IF(NOT(ISNUMBER(D11)),"não testado",IF(ROW()=9,"referência"&amp;IF(I11&gt;0," · "&amp;I11&amp;" falha(s)",""),IF(E11&gt;=1,TEXT(1+E11,"0")&amp;"× mais rápida",IF(E11&gt;=0.1,"mais rápida ("&amp;TEXT(E11,"+0%")&amp;")",IF(E11&lt;=-0.05,"mais lenta ("&amp;TEXT(E11,"0%")&amp;")","parecida ("&amp;TEXT(E11,"+0%;-0%")&amp;")")))&amp;IF(N(H11)&lt;0.95," · só "&amp;TEXT(H11,"0%")&amp;" ok",IF(I11&gt;0," · "&amp;I11&amp;" falha(s)",""))))</f>
        <v>mais rápida (+20%)</v>
      </c>
      <c r="S11" s="25" t="s">
        <v>30</v>
      </c>
    </row>
    <row r="12" spans="1:19" ht="24" customHeight="1" x14ac:dyDescent="0.25">
      <c r="A12" s="26"/>
      <c r="B12" s="15" t="str">
        <f>"g5.12xlarge   "&amp;INDEX(Instancias!$C$2:$C$4,MATCH("ml.g5.12xlarge",Instancias!$A$2:$A$4,0))&amp;"× "&amp;SUBSTITUTE(INDEX(Instancias!$B$2:$B$4,MATCH("ml.g5.12xlarge",Instancias!$A$2:$A$4,0)),"NVIDIA ","")&amp;" · "&amp;INDEX(Instancias!$E$2:$E$4,MATCH("ml.g5.12xlarge",Instancias!$A$2:$A$4,0))&amp;" GB GPU · "&amp;INDEX(Instancias!$F$2:$F$4,MATCH("ml.g5.12xlarge",Instancias!$A$2:$A$4,0))&amp;" vCPU · "&amp;INDEX(Instancias!$G$2:$G$4,MATCH("ml.g5.12xlarge",Instancias!$A$2:$A$4,0))&amp;" GiB"</f>
        <v>g5.12xlarge   4× A10G · 96 GB GPU · 48 vCPU · 192 GiB</v>
      </c>
      <c r="C12" s="27" t="s">
        <v>28</v>
      </c>
      <c r="D12" s="17" t="str">
        <f>IF(COUNTIFS(Testes[Serviço],"Batch",Testes[Instância],"ml.g5.12xlarge",Testes[Fracionamento],"Sim",Testes[Teste],$C$4)=0,"",IFERROR(AVERAGEIFS(Testes[Throughput processamento (linhas/s)],Testes[Serviço],"Batch",Testes[Instância],"ml.g5.12xlarge",Testes[Fracionamento],"Sim",Testes[Teste],$C$4),""))</f>
        <v/>
      </c>
      <c r="E12" s="18" t="str">
        <f>IF(OR(NOT(ISNUMBER(D12)),NOT(ISNUMBER(D9))),"",IF(ROW()=9,"base",D12/D9-1))</f>
        <v/>
      </c>
      <c r="F12" s="19" t="str">
        <f>IF(COUNTIFS(Testes[Serviço],"Batch",Testes[Instância],"ml.g5.12xlarge",Testes[Fracionamento],"Sim",Testes[Teste],$C$4)=0,"",IFERROR(AVERAGEIFS(Testes[Tempo total (min)],Testes[Serviço],"Batch",Testes[Instância],"ml.g5.12xlarge",Testes[Fracionamento],"Sim",Testes[Teste],$C$4)/1440,""))</f>
        <v/>
      </c>
      <c r="G12" s="19" t="str">
        <f>IF(ISNUMBER(D12),24000000/D12/86400,"")</f>
        <v/>
      </c>
      <c r="H12" s="20" t="str">
        <f>IF(COUNTIFS(Testes[Serviço],"Batch",Testes[Instância],"ml.g5.12xlarge",Testes[Fracionamento],"Sim",Testes[Teste],$C$4)=0,"",IFERROR(AVERAGEIFS(Testes[% ok],Testes[Serviço],"Batch",Testes[Instância],"ml.g5.12xlarge",Testes[Fracionamento],"Sim",Testes[Teste],$C$4),""))</f>
        <v/>
      </c>
      <c r="I12" s="21" t="str">
        <f>IF(COUNTIFS(Testes[Serviço],"Batch",Testes[Instância],"ml.g5.12xlarge",Testes[Fracionamento],"Sim",Testes[Teste],$C$4)=0,"",SUMIFS(Testes[Falhas],Testes[Serviço],"Batch",Testes[Instância],"ml.g5.12xlarge",Testes[Fracionamento],"Sim",Testes[Teste],$C$4))</f>
        <v/>
      </c>
      <c r="J12" s="22" t="str">
        <f>IF(COUNTIFS(Testes[Serviço],"Batch",Testes[Instância],"ml.g5.12xlarge",Testes[Fracionamento],"Sim",Testes[Teste],$C$4)=0,"",IFERROR(AVERAGEIFS(Testes[Custo (USD)],Testes[Serviço],"Batch",Testes[Instância],"ml.g5.12xlarge",Testes[Fracionamento],"Sim",Testes[Teste],$C$4),""))</f>
        <v/>
      </c>
      <c r="K12" s="22" t="str">
        <f>IF(COUNTIFS(Testes[Serviço],"Batch",Testes[Instância],"ml.g5.12xlarge",Testes[Fracionamento],"Sim",Testes[Teste],$C$4)=0,"",IFERROR(AVERAGEIFS(Testes[Custo por 1M linhas (USD)],Testes[Serviço],"Batch",Testes[Instância],"ml.g5.12xlarge",Testes[Fracionamento],"Sim",Testes[Teste],$C$4),""))</f>
        <v/>
      </c>
      <c r="L12" s="23" t="str">
        <f>IF(ISNUMBER(K12),K12*24,"")</f>
        <v/>
      </c>
      <c r="M12" s="20" t="str">
        <f>IF(COUNTIFS(Testes[Serviço],"Batch",Testes[Instância],"ml.g5.12xlarge",Testes[Fracionamento],"Sim",Testes[Teste],$C$4)=0,"",IFERROR(AVERAGEIFS(Testes[GPU média /GPU],Testes[Serviço],"Batch",Testes[Instância],"ml.g5.12xlarge",Testes[Fracionamento],"Sim",Testes[Teste],$C$4),""))</f>
        <v/>
      </c>
      <c r="N12" s="20" t="str">
        <f>IF(COUNTIFS(Testes[Serviço],"Batch",Testes[Instância],"ml.g5.12xlarge",Testes[Fracionamento],"Sim",Testes[Teste],$C$4)=0,"",IFERROR(AVERAGEIFS(Testes[Mem. GPU média /GPU],Testes[Serviço],"Batch",Testes[Instância],"ml.g5.12xlarge",Testes[Fracionamento],"Sim",Testes[Teste],$C$4),""))</f>
        <v/>
      </c>
      <c r="O12" s="21" t="str">
        <f>IF(COUNTIFS(Testes[Serviço],"Batch",Testes[Instância],"ml.g5.12xlarge",Testes[Fracionamento],"Sim",Testes[Teste],$C$4)=0,"",IFERROR(AVERAGEIFS(Testes[ModelLatency (s)],Testes[Serviço],"Batch",Testes[Instância],"ml.g5.12xlarge",Testes[Fracionamento],"Sim",Testes[Teste],$C$4),""))</f>
        <v/>
      </c>
      <c r="P12" s="24" t="str">
        <f>IF(NOT(ISNUMBER(D12)),"não testado",IF(ROW()=9,"referência"&amp;IF(I12&gt;0," · "&amp;I12&amp;" falha(s)",""),IF(E12&gt;=1,TEXT(1+E12,"0")&amp;"× mais rápida",IF(E12&gt;=0.1,"mais rápida ("&amp;TEXT(E12,"+0%")&amp;")",IF(E12&lt;=-0.05,"mais lenta ("&amp;TEXT(E12,"0%")&amp;")","parecida ("&amp;TEXT(E12,"+0%;-0%")&amp;")")))&amp;IF(N(H12)&lt;0.95," · só "&amp;TEXT(H12,"0%")&amp;" ok",IF(I12&gt;0," · "&amp;I12&amp;" falha(s)",""))))</f>
        <v>não testado</v>
      </c>
      <c r="S12" s="25" t="s">
        <v>31</v>
      </c>
    </row>
    <row r="13" spans="1:19" ht="26.1" customHeight="1" x14ac:dyDescent="0.25">
      <c r="B13" s="13" t="s">
        <v>32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9" ht="24" customHeight="1" x14ac:dyDescent="0.25">
      <c r="B14" s="15" t="str">
        <f>"g6.12xlarge   "&amp;INDEX(Instancias!$C$2:$C$4,MATCH("ml.g6.12xlarge",Instancias!$A$2:$A$4,0))&amp;"× "&amp;SUBSTITUTE(INDEX(Instancias!$B$2:$B$4,MATCH("ml.g6.12xlarge",Instancias!$A$2:$A$4,0)),"NVIDIA ","")&amp;" · "&amp;INDEX(Instancias!$E$2:$E$4,MATCH("ml.g6.12xlarge",Instancias!$A$2:$A$4,0))&amp;" GB GPU · "&amp;INDEX(Instancias!$F$2:$F$4,MATCH("ml.g6.12xlarge",Instancias!$A$2:$A$4,0))&amp;" vCPU · "&amp;INDEX(Instancias!$G$2:$G$4,MATCH("ml.g6.12xlarge",Instancias!$A$2:$A$4,0))&amp;" GiB"</f>
        <v>g6.12xlarge   4× L4 · 96 GB GPU · 48 vCPU · 192 GiB</v>
      </c>
      <c r="C14" s="16" t="s">
        <v>26</v>
      </c>
      <c r="D14" s="17">
        <f>IF(COUNTIFS(Testes[Serviço],"Async",Testes[Instância],"ml.g6.12xlarge",Testes[Fracionamento],"Não",Testes[Teste],$C$4)=0,"",IFERROR(AVERAGEIFS(Testes[Throughput processamento (linhas/s)],Testes[Serviço],"Async",Testes[Instância],"ml.g6.12xlarge",Testes[Fracionamento],"Não",Testes[Teste],$C$4),""))</f>
        <v>173</v>
      </c>
      <c r="E14" s="18" t="str">
        <f>IF(OR(NOT(ISNUMBER(D14)),NOT(ISNUMBER(D14))),"",IF(ROW()=14,"base",D14/D14-1))</f>
        <v>base</v>
      </c>
      <c r="F14" s="19">
        <f>IF(COUNTIFS(Testes[Serviço],"Async",Testes[Instância],"ml.g6.12xlarge",Testes[Fracionamento],"Não",Testes[Teste],$C$4)=0,"",IFERROR(AVERAGEIFS(Testes[Tempo total (min)],Testes[Serviço],"Async",Testes[Instância],"ml.g6.12xlarge",Testes[Fracionamento],"Não",Testes[Teste],$C$4)/1440,""))</f>
        <v>6.3194444444444442E-2</v>
      </c>
      <c r="G14" s="19">
        <f>IF(ISNUMBER(D14),24000000/D14/86400,"")</f>
        <v>1.6056518946692357</v>
      </c>
      <c r="H14" s="20">
        <f>IF(COUNTIFS(Testes[Serviço],"Async",Testes[Instância],"ml.g6.12xlarge",Testes[Fracionamento],"Não",Testes[Teste],$C$4)=0,"",IFERROR(AVERAGEIFS(Testes[% ok],Testes[Serviço],"Async",Testes[Instância],"ml.g6.12xlarge",Testes[Fracionamento],"Não",Testes[Teste],$C$4),""))</f>
        <v>1</v>
      </c>
      <c r="I14" s="21">
        <f>IF(COUNTIFS(Testes[Serviço],"Async",Testes[Instância],"ml.g6.12xlarge",Testes[Fracionamento],"Não",Testes[Teste],$C$4)=0,"",SUMIFS(Testes[Falhas],Testes[Serviço],"Async",Testes[Instância],"ml.g6.12xlarge",Testes[Fracionamento],"Não",Testes[Teste],$C$4))</f>
        <v>0</v>
      </c>
      <c r="J14" s="22" t="str">
        <f>IF(COUNTIFS(Testes[Serviço],"Async",Testes[Instância],"ml.g6.12xlarge",Testes[Fracionamento],"Não",Testes[Teste],$C$4)=0,"",IFERROR(AVERAGEIFS(Testes[Custo (USD)],Testes[Serviço],"Async",Testes[Instância],"ml.g6.12xlarge",Testes[Fracionamento],"Não",Testes[Teste],$C$4),""))</f>
        <v/>
      </c>
      <c r="K14" s="22" t="str">
        <f>IF(COUNTIFS(Testes[Serviço],"Async",Testes[Instância],"ml.g6.12xlarge",Testes[Fracionamento],"Não",Testes[Teste],$C$4)=0,"",IFERROR(AVERAGEIFS(Testes[Custo por 1M linhas (USD)],Testes[Serviço],"Async",Testes[Instância],"ml.g6.12xlarge",Testes[Fracionamento],"Não",Testes[Teste],$C$4),""))</f>
        <v/>
      </c>
      <c r="L14" s="23" t="str">
        <f>IF(ISNUMBER(K14),K14*24,"")</f>
        <v/>
      </c>
      <c r="M14" s="20">
        <f>IF(COUNTIFS(Testes[Serviço],"Async",Testes[Instância],"ml.g6.12xlarge",Testes[Fracionamento],"Não",Testes[Teste],$C$4)=0,"",IFERROR(AVERAGEIFS(Testes[GPU média /GPU],Testes[Serviço],"Async",Testes[Instância],"ml.g6.12xlarge",Testes[Fracionamento],"Não",Testes[Teste],$C$4),""))</f>
        <v>0.67500000000000004</v>
      </c>
      <c r="N14" s="20">
        <f>IF(COUNTIFS(Testes[Serviço],"Async",Testes[Instância],"ml.g6.12xlarge",Testes[Fracionamento],"Não",Testes[Teste],$C$4)=0,"",IFERROR(AVERAGEIFS(Testes[Mem. GPU média /GPU],Testes[Serviço],"Async",Testes[Instância],"ml.g6.12xlarge",Testes[Fracionamento],"Não",Testes[Teste],$C$4),""))</f>
        <v>0.252</v>
      </c>
      <c r="O14" s="21">
        <f>IF(COUNTIFS(Testes[Serviço],"Async",Testes[Instância],"ml.g6.12xlarge",Testes[Fracionamento],"Não",Testes[Teste],$C$4)=0,"",IFERROR(AVERAGEIFS(Testes[ModelLatency (s)],Testes[Serviço],"Async",Testes[Instância],"ml.g6.12xlarge",Testes[Fracionamento],"Não",Testes[Teste],$C$4),""))</f>
        <v>86.9</v>
      </c>
      <c r="P14" s="24" t="str">
        <f>IF(NOT(ISNUMBER(D14)),"não testado",IF(ROW()=14,"referência"&amp;IF(I14&gt;0," · "&amp;I14&amp;" falha(s)",""),IF(E14&gt;=1,TEXT(1+E14,"0")&amp;"× mais rápida",IF(E14&gt;=0.1,"mais rápida ("&amp;TEXT(E14,"+0%")&amp;")",IF(E14&lt;=-0.05,"mais lenta ("&amp;TEXT(E14,"0%")&amp;")","parecida ("&amp;TEXT(E14,"+0%;-0%")&amp;")")))&amp;IF(N(H14)&lt;0.95," · só "&amp;TEXT(H14,"0%")&amp;" ok",IF(I14&gt;0," · "&amp;I14&amp;" falha(s)",""))))</f>
        <v>referência</v>
      </c>
      <c r="S14" s="25" t="s">
        <v>33</v>
      </c>
    </row>
    <row r="15" spans="1:19" ht="24" customHeight="1" x14ac:dyDescent="0.25">
      <c r="A15" s="26"/>
      <c r="B15" s="15" t="str">
        <f>"g6.12xlarge   "&amp;INDEX(Instancias!$C$2:$C$4,MATCH("ml.g6.12xlarge",Instancias!$A$2:$A$4,0))&amp;"× "&amp;SUBSTITUTE(INDEX(Instancias!$B$2:$B$4,MATCH("ml.g6.12xlarge",Instancias!$A$2:$A$4,0)),"NVIDIA ","")&amp;" · "&amp;INDEX(Instancias!$E$2:$E$4,MATCH("ml.g6.12xlarge",Instancias!$A$2:$A$4,0))&amp;" GB GPU · "&amp;INDEX(Instancias!$F$2:$F$4,MATCH("ml.g6.12xlarge",Instancias!$A$2:$A$4,0))&amp;" vCPU · "&amp;INDEX(Instancias!$G$2:$G$4,MATCH("ml.g6.12xlarge",Instancias!$A$2:$A$4,0))&amp;" GiB"</f>
        <v>g6.12xlarge   4× L4 · 96 GB GPU · 48 vCPU · 192 GiB</v>
      </c>
      <c r="C15" s="27" t="s">
        <v>28</v>
      </c>
      <c r="D15" s="17">
        <f>IF(COUNTIFS(Testes[Serviço],"Async",Testes[Instância],"ml.g6.12xlarge",Testes[Fracionamento],"Sim",Testes[Teste],$C$4)=0,"",IFERROR(AVERAGEIFS(Testes[Throughput processamento (linhas/s)],Testes[Serviço],"Async",Testes[Instância],"ml.g6.12xlarge",Testes[Fracionamento],"Sim",Testes[Teste],$C$4),""))</f>
        <v>80</v>
      </c>
      <c r="E15" s="18">
        <f>IF(OR(NOT(ISNUMBER(D15)),NOT(ISNUMBER(D14))),"",IF(ROW()=14,"base",D15/D14-1))</f>
        <v>-0.53757225433526012</v>
      </c>
      <c r="F15" s="19">
        <f>IF(COUNTIFS(Testes[Serviço],"Async",Testes[Instância],"ml.g6.12xlarge",Testes[Fracionamento],"Sim",Testes[Teste],$C$4)=0,"",IFERROR(AVERAGEIFS(Testes[Tempo total (min)],Testes[Serviço],"Async",Testes[Instância],"ml.g6.12xlarge",Testes[Fracionamento],"Sim",Testes[Teste],$C$4)/1440,""))</f>
        <v>4.0972222222222222E-2</v>
      </c>
      <c r="G15" s="19">
        <f>IF(ISNUMBER(D15),24000000/D15/86400,"")</f>
        <v>3.4722222222222223</v>
      </c>
      <c r="H15" s="20">
        <f>IF(COUNTIFS(Testes[Serviço],"Async",Testes[Instância],"ml.g6.12xlarge",Testes[Fracionamento],"Sim",Testes[Teste],$C$4)=0,"",IFERROR(AVERAGEIFS(Testes[% ok],Testes[Serviço],"Async",Testes[Instância],"ml.g6.12xlarge",Testes[Fracionamento],"Sim",Testes[Teste],$C$4),""))</f>
        <v>0.3</v>
      </c>
      <c r="I15" s="21">
        <f>IF(COUNTIFS(Testes[Serviço],"Async",Testes[Instância],"ml.g6.12xlarge",Testes[Fracionamento],"Sim",Testes[Teste],$C$4)=0,"",SUMIFS(Testes[Falhas],Testes[Serviço],"Async",Testes[Instância],"ml.g6.12xlarge",Testes[Fracionamento],"Sim",Testes[Teste],$C$4))</f>
        <v>140</v>
      </c>
      <c r="J15" s="22" t="str">
        <f>IF(COUNTIFS(Testes[Serviço],"Async",Testes[Instância],"ml.g6.12xlarge",Testes[Fracionamento],"Sim",Testes[Teste],$C$4)=0,"",IFERROR(AVERAGEIFS(Testes[Custo (USD)],Testes[Serviço],"Async",Testes[Instância],"ml.g6.12xlarge",Testes[Fracionamento],"Sim",Testes[Teste],$C$4),""))</f>
        <v/>
      </c>
      <c r="K15" s="22" t="str">
        <f>IF(COUNTIFS(Testes[Serviço],"Async",Testes[Instância],"ml.g6.12xlarge",Testes[Fracionamento],"Sim",Testes[Teste],$C$4)=0,"",IFERROR(AVERAGEIFS(Testes[Custo por 1M linhas (USD)],Testes[Serviço],"Async",Testes[Instância],"ml.g6.12xlarge",Testes[Fracionamento],"Sim",Testes[Teste],$C$4),""))</f>
        <v/>
      </c>
      <c r="L15" s="23" t="str">
        <f>IF(ISNUMBER(K15),K15*24,"")</f>
        <v/>
      </c>
      <c r="M15" s="20">
        <f>IF(COUNTIFS(Testes[Serviço],"Async",Testes[Instância],"ml.g6.12xlarge",Testes[Fracionamento],"Sim",Testes[Teste],$C$4)=0,"",IFERROR(AVERAGEIFS(Testes[GPU média /GPU],Testes[Serviço],"Async",Testes[Instância],"ml.g6.12xlarge",Testes[Fracionamento],"Sim",Testes[Teste],$C$4),""))</f>
        <v>0.97499999999999998</v>
      </c>
      <c r="N15" s="20">
        <f>IF(COUNTIFS(Testes[Serviço],"Async",Testes[Instância],"ml.g6.12xlarge",Testes[Fracionamento],"Sim",Testes[Teste],$C$4)=0,"",IFERROR(AVERAGEIFS(Testes[Mem. GPU média /GPU],Testes[Serviço],"Async",Testes[Instância],"ml.g6.12xlarge",Testes[Fracionamento],"Sim",Testes[Teste],$C$4),""))</f>
        <v>0.64500000000000002</v>
      </c>
      <c r="O15" s="21">
        <f>IF(COUNTIFS(Testes[Serviço],"Async",Testes[Instância],"ml.g6.12xlarge",Testes[Fracionamento],"Sim",Testes[Teste],$C$4)=0,"",IFERROR(AVERAGEIFS(Testes[ModelLatency (s)],Testes[Serviço],"Async",Testes[Instância],"ml.g6.12xlarge",Testes[Fracionamento],"Sim",Testes[Teste],$C$4),""))</f>
        <v>285</v>
      </c>
      <c r="P15" s="24" t="str">
        <f>IF(NOT(ISNUMBER(D15)),"não testado",IF(ROW()=14,"referência"&amp;IF(I15&gt;0," · "&amp;I15&amp;" falha(s)",""),IF(E15&gt;=1,TEXT(1+E15,"0")&amp;"× mais rápida",IF(E15&gt;=0.1,"mais rápida ("&amp;TEXT(E15,"+0%")&amp;")",IF(E15&lt;=-0.05,"mais lenta ("&amp;TEXT(E15,"0%")&amp;")","parecida ("&amp;TEXT(E15,"+0%;-0%")&amp;")")))&amp;IF(N(H15)&lt;0.95," · só "&amp;TEXT(H15,"0%")&amp;" ok",IF(I15&gt;0," · "&amp;I15&amp;" falha(s)",""))))</f>
        <v>mais lenta (-54%) · só 30% ok</v>
      </c>
      <c r="S15" s="25" t="s">
        <v>34</v>
      </c>
    </row>
    <row r="16" spans="1:19" ht="24" customHeight="1" x14ac:dyDescent="0.25">
      <c r="B16" s="15" t="str">
        <f>"g5.12xlarge   "&amp;INDEX(Instancias!$C$2:$C$4,MATCH("ml.g5.12xlarge",Instancias!$A$2:$A$4,0))&amp;"× "&amp;SUBSTITUTE(INDEX(Instancias!$B$2:$B$4,MATCH("ml.g5.12xlarge",Instancias!$A$2:$A$4,0)),"NVIDIA ","")&amp;" · "&amp;INDEX(Instancias!$E$2:$E$4,MATCH("ml.g5.12xlarge",Instancias!$A$2:$A$4,0))&amp;" GB GPU · "&amp;INDEX(Instancias!$F$2:$F$4,MATCH("ml.g5.12xlarge",Instancias!$A$2:$A$4,0))&amp;" vCPU · "&amp;INDEX(Instancias!$G$2:$G$4,MATCH("ml.g5.12xlarge",Instancias!$A$2:$A$4,0))&amp;" GiB"</f>
        <v>g5.12xlarge   4× A10G · 96 GB GPU · 48 vCPU · 192 GiB</v>
      </c>
      <c r="C16" s="16" t="s">
        <v>26</v>
      </c>
      <c r="D16" s="17" t="str">
        <f>IF(COUNTIFS(Testes[Serviço],"Async",Testes[Instância],"ml.g5.12xlarge",Testes[Fracionamento],"Não",Testes[Teste],$C$4)=0,"",IFERROR(AVERAGEIFS(Testes[Throughput processamento (linhas/s)],Testes[Serviço],"Async",Testes[Instância],"ml.g5.12xlarge",Testes[Fracionamento],"Não",Testes[Teste],$C$4),""))</f>
        <v/>
      </c>
      <c r="E16" s="18" t="str">
        <f>IF(OR(NOT(ISNUMBER(D16)),NOT(ISNUMBER(D14))),"",IF(ROW()=14,"base",D16/D14-1))</f>
        <v/>
      </c>
      <c r="F16" s="19" t="str">
        <f>IF(COUNTIFS(Testes[Serviço],"Async",Testes[Instância],"ml.g5.12xlarge",Testes[Fracionamento],"Não",Testes[Teste],$C$4)=0,"",IFERROR(AVERAGEIFS(Testes[Tempo total (min)],Testes[Serviço],"Async",Testes[Instância],"ml.g5.12xlarge",Testes[Fracionamento],"Não",Testes[Teste],$C$4)/1440,""))</f>
        <v/>
      </c>
      <c r="G16" s="19" t="str">
        <f>IF(ISNUMBER(D16),24000000/D16/86400,"")</f>
        <v/>
      </c>
      <c r="H16" s="20" t="str">
        <f>IF(COUNTIFS(Testes[Serviço],"Async",Testes[Instância],"ml.g5.12xlarge",Testes[Fracionamento],"Não",Testes[Teste],$C$4)=0,"",IFERROR(AVERAGEIFS(Testes[% ok],Testes[Serviço],"Async",Testes[Instância],"ml.g5.12xlarge",Testes[Fracionamento],"Não",Testes[Teste],$C$4),""))</f>
        <v/>
      </c>
      <c r="I16" s="21" t="str">
        <f>IF(COUNTIFS(Testes[Serviço],"Async",Testes[Instância],"ml.g5.12xlarge",Testes[Fracionamento],"Não",Testes[Teste],$C$4)=0,"",SUMIFS(Testes[Falhas],Testes[Serviço],"Async",Testes[Instância],"ml.g5.12xlarge",Testes[Fracionamento],"Não",Testes[Teste],$C$4))</f>
        <v/>
      </c>
      <c r="J16" s="22" t="str">
        <f>IF(COUNTIFS(Testes[Serviço],"Async",Testes[Instância],"ml.g5.12xlarge",Testes[Fracionamento],"Não",Testes[Teste],$C$4)=0,"",IFERROR(AVERAGEIFS(Testes[Custo (USD)],Testes[Serviço],"Async",Testes[Instância],"ml.g5.12xlarge",Testes[Fracionamento],"Não",Testes[Teste],$C$4),""))</f>
        <v/>
      </c>
      <c r="K16" s="22" t="str">
        <f>IF(COUNTIFS(Testes[Serviço],"Async",Testes[Instância],"ml.g5.12xlarge",Testes[Fracionamento],"Não",Testes[Teste],$C$4)=0,"",IFERROR(AVERAGEIFS(Testes[Custo por 1M linhas (USD)],Testes[Serviço],"Async",Testes[Instância],"ml.g5.12xlarge",Testes[Fracionamento],"Não",Testes[Teste],$C$4),""))</f>
        <v/>
      </c>
      <c r="L16" s="23" t="str">
        <f>IF(ISNUMBER(K16),K16*24,"")</f>
        <v/>
      </c>
      <c r="M16" s="20" t="str">
        <f>IF(COUNTIFS(Testes[Serviço],"Async",Testes[Instância],"ml.g5.12xlarge",Testes[Fracionamento],"Não",Testes[Teste],$C$4)=0,"",IFERROR(AVERAGEIFS(Testes[GPU média /GPU],Testes[Serviço],"Async",Testes[Instância],"ml.g5.12xlarge",Testes[Fracionamento],"Não",Testes[Teste],$C$4),""))</f>
        <v/>
      </c>
      <c r="N16" s="20" t="str">
        <f>IF(COUNTIFS(Testes[Serviço],"Async",Testes[Instância],"ml.g5.12xlarge",Testes[Fracionamento],"Não",Testes[Teste],$C$4)=0,"",IFERROR(AVERAGEIFS(Testes[Mem. GPU média /GPU],Testes[Serviço],"Async",Testes[Instância],"ml.g5.12xlarge",Testes[Fracionamento],"Não",Testes[Teste],$C$4),""))</f>
        <v/>
      </c>
      <c r="O16" s="21" t="str">
        <f>IF(COUNTIFS(Testes[Serviço],"Async",Testes[Instância],"ml.g5.12xlarge",Testes[Fracionamento],"Não",Testes[Teste],$C$4)=0,"",IFERROR(AVERAGEIFS(Testes[ModelLatency (s)],Testes[Serviço],"Async",Testes[Instância],"ml.g5.12xlarge",Testes[Fracionamento],"Não",Testes[Teste],$C$4),""))</f>
        <v/>
      </c>
      <c r="P16" s="24" t="str">
        <f>IF(NOT(ISNUMBER(D16)),"não testado",IF(ROW()=14,"referência"&amp;IF(I16&gt;0," · "&amp;I16&amp;" falha(s)",""),IF(E16&gt;=1,TEXT(1+E16,"0")&amp;"× mais rápida",IF(E16&gt;=0.1,"mais rápida ("&amp;TEXT(E16,"+0%")&amp;")",IF(E16&lt;=-0.05,"mais lenta ("&amp;TEXT(E16,"0%")&amp;")","parecida ("&amp;TEXT(E16,"+0%;-0%")&amp;")")))&amp;IF(N(H16)&lt;0.95," · só "&amp;TEXT(H16,"0%")&amp;" ok",IF(I16&gt;0," · "&amp;I16&amp;" falha(s)",""))))</f>
        <v>não testado</v>
      </c>
      <c r="S16" s="25" t="s">
        <v>35</v>
      </c>
    </row>
    <row r="17" spans="1:19" ht="24" customHeight="1" x14ac:dyDescent="0.25">
      <c r="A17" s="26"/>
      <c r="B17" s="15" t="str">
        <f>"g5.12xlarge   "&amp;INDEX(Instancias!$C$2:$C$4,MATCH("ml.g5.12xlarge",Instancias!$A$2:$A$4,0))&amp;"× "&amp;SUBSTITUTE(INDEX(Instancias!$B$2:$B$4,MATCH("ml.g5.12xlarge",Instancias!$A$2:$A$4,0)),"NVIDIA ","")&amp;" · "&amp;INDEX(Instancias!$E$2:$E$4,MATCH("ml.g5.12xlarge",Instancias!$A$2:$A$4,0))&amp;" GB GPU · "&amp;INDEX(Instancias!$F$2:$F$4,MATCH("ml.g5.12xlarge",Instancias!$A$2:$A$4,0))&amp;" vCPU · "&amp;INDEX(Instancias!$G$2:$G$4,MATCH("ml.g5.12xlarge",Instancias!$A$2:$A$4,0))&amp;" GiB"</f>
        <v>g5.12xlarge   4× A10G · 96 GB GPU · 48 vCPU · 192 GiB</v>
      </c>
      <c r="C17" s="27" t="s">
        <v>28</v>
      </c>
      <c r="D17" s="17" t="str">
        <f>IF(COUNTIFS(Testes[Serviço],"Async",Testes[Instância],"ml.g5.12xlarge",Testes[Fracionamento],"Sim",Testes[Teste],$C$4)=0,"",IFERROR(AVERAGEIFS(Testes[Throughput processamento (linhas/s)],Testes[Serviço],"Async",Testes[Instância],"ml.g5.12xlarge",Testes[Fracionamento],"Sim",Testes[Teste],$C$4),""))</f>
        <v/>
      </c>
      <c r="E17" s="18" t="str">
        <f>IF(OR(NOT(ISNUMBER(D17)),NOT(ISNUMBER(D14))),"",IF(ROW()=14,"base",D17/D14-1))</f>
        <v/>
      </c>
      <c r="F17" s="19" t="str">
        <f>IF(COUNTIFS(Testes[Serviço],"Async",Testes[Instância],"ml.g5.12xlarge",Testes[Fracionamento],"Sim",Testes[Teste],$C$4)=0,"",IFERROR(AVERAGEIFS(Testes[Tempo total (min)],Testes[Serviço],"Async",Testes[Instância],"ml.g5.12xlarge",Testes[Fracionamento],"Sim",Testes[Teste],$C$4)/1440,""))</f>
        <v/>
      </c>
      <c r="G17" s="19" t="str">
        <f>IF(ISNUMBER(D17),24000000/D17/86400,"")</f>
        <v/>
      </c>
      <c r="H17" s="20" t="str">
        <f>IF(COUNTIFS(Testes[Serviço],"Async",Testes[Instância],"ml.g5.12xlarge",Testes[Fracionamento],"Sim",Testes[Teste],$C$4)=0,"",IFERROR(AVERAGEIFS(Testes[% ok],Testes[Serviço],"Async",Testes[Instância],"ml.g5.12xlarge",Testes[Fracionamento],"Sim",Testes[Teste],$C$4),""))</f>
        <v/>
      </c>
      <c r="I17" s="21" t="str">
        <f>IF(COUNTIFS(Testes[Serviço],"Async",Testes[Instância],"ml.g5.12xlarge",Testes[Fracionamento],"Sim",Testes[Teste],$C$4)=0,"",SUMIFS(Testes[Falhas],Testes[Serviço],"Async",Testes[Instância],"ml.g5.12xlarge",Testes[Fracionamento],"Sim",Testes[Teste],$C$4))</f>
        <v/>
      </c>
      <c r="J17" s="22" t="str">
        <f>IF(COUNTIFS(Testes[Serviço],"Async",Testes[Instância],"ml.g5.12xlarge",Testes[Fracionamento],"Sim",Testes[Teste],$C$4)=0,"",IFERROR(AVERAGEIFS(Testes[Custo (USD)],Testes[Serviço],"Async",Testes[Instância],"ml.g5.12xlarge",Testes[Fracionamento],"Sim",Testes[Teste],$C$4),""))</f>
        <v/>
      </c>
      <c r="K17" s="22" t="str">
        <f>IF(COUNTIFS(Testes[Serviço],"Async",Testes[Instância],"ml.g5.12xlarge",Testes[Fracionamento],"Sim",Testes[Teste],$C$4)=0,"",IFERROR(AVERAGEIFS(Testes[Custo por 1M linhas (USD)],Testes[Serviço],"Async",Testes[Instância],"ml.g5.12xlarge",Testes[Fracionamento],"Sim",Testes[Teste],$C$4),""))</f>
        <v/>
      </c>
      <c r="L17" s="23" t="str">
        <f>IF(ISNUMBER(K17),K17*24,"")</f>
        <v/>
      </c>
      <c r="M17" s="20" t="str">
        <f>IF(COUNTIFS(Testes[Serviço],"Async",Testes[Instância],"ml.g5.12xlarge",Testes[Fracionamento],"Sim",Testes[Teste],$C$4)=0,"",IFERROR(AVERAGEIFS(Testes[GPU média /GPU],Testes[Serviço],"Async",Testes[Instância],"ml.g5.12xlarge",Testes[Fracionamento],"Sim",Testes[Teste],$C$4),""))</f>
        <v/>
      </c>
      <c r="N17" s="20" t="str">
        <f>IF(COUNTIFS(Testes[Serviço],"Async",Testes[Instância],"ml.g5.12xlarge",Testes[Fracionamento],"Sim",Testes[Teste],$C$4)=0,"",IFERROR(AVERAGEIFS(Testes[Mem. GPU média /GPU],Testes[Serviço],"Async",Testes[Instância],"ml.g5.12xlarge",Testes[Fracionamento],"Sim",Testes[Teste],$C$4),""))</f>
        <v/>
      </c>
      <c r="O17" s="21" t="str">
        <f>IF(COUNTIFS(Testes[Serviço],"Async",Testes[Instância],"ml.g5.12xlarge",Testes[Fracionamento],"Sim",Testes[Teste],$C$4)=0,"",IFERROR(AVERAGEIFS(Testes[ModelLatency (s)],Testes[Serviço],"Async",Testes[Instância],"ml.g5.12xlarge",Testes[Fracionamento],"Sim",Testes[Teste],$C$4),""))</f>
        <v/>
      </c>
      <c r="P17" s="24" t="str">
        <f>IF(NOT(ISNUMBER(D17)),"não testado",IF(ROW()=14,"referência"&amp;IF(I17&gt;0," · "&amp;I17&amp;" falha(s)",""),IF(E17&gt;=1,TEXT(1+E17,"0")&amp;"× mais rápida",IF(E17&gt;=0.1,"mais rápida ("&amp;TEXT(E17,"+0%")&amp;")",IF(E17&lt;=-0.05,"mais lenta ("&amp;TEXT(E17,"0%")&amp;")","parecida ("&amp;TEXT(E17,"+0%;-0%")&amp;")")))&amp;IF(N(H17)&lt;0.95," · só "&amp;TEXT(H17,"0%")&amp;" ok",IF(I17&gt;0," · "&amp;I17&amp;" falha(s)",""))))</f>
        <v>não testado</v>
      </c>
      <c r="S17" s="25" t="s">
        <v>36</v>
      </c>
    </row>
    <row r="18" spans="1:19" ht="24" customHeight="1" x14ac:dyDescent="0.25">
      <c r="B18" s="15" t="str">
        <f>"p5e.48xlarge   "&amp;INDEX(Instancias!$C$2:$C$4,MATCH("ml.p5e.48xlarge",Instancias!$A$2:$A$4,0))&amp;"× "&amp;SUBSTITUTE(INDEX(Instancias!$B$2:$B$4,MATCH("ml.p5e.48xlarge",Instancias!$A$2:$A$4,0)),"NVIDIA ","")&amp;" · "&amp;INDEX(Instancias!$E$2:$E$4,MATCH("ml.p5e.48xlarge",Instancias!$A$2:$A$4,0))&amp;" GB GPU · "&amp;INDEX(Instancias!$F$2:$F$4,MATCH("ml.p5e.48xlarge",Instancias!$A$2:$A$4,0))&amp;" vCPU · "&amp;INDEX(Instancias!$G$2:$G$4,MATCH("ml.p5e.48xlarge",Instancias!$A$2:$A$4,0))&amp;" GiB"</f>
        <v>p5e.48xlarge   8× H200 · 1128 GB GPU · 192 vCPU · 2048 GiB</v>
      </c>
      <c r="C18" s="16" t="s">
        <v>26</v>
      </c>
      <c r="D18" s="17">
        <f>IF(COUNTIFS(Testes[Serviço],"Async",Testes[Instância],"ml.p5e.48xlarge",Testes[Fracionamento],"Não",Testes[Teste],$C$4)=0,"",IFERROR(AVERAGEIFS(Testes[Throughput processamento (linhas/s)],Testes[Serviço],"Async",Testes[Instância],"ml.p5e.48xlarge",Testes[Fracionamento],"Não",Testes[Teste],$C$4),""))</f>
        <v>2316</v>
      </c>
      <c r="E18" s="18">
        <f>IF(OR(NOT(ISNUMBER(D18)),NOT(ISNUMBER(D14))),"",IF(ROW()=14,"base",D18/D14-1))</f>
        <v>12.38728323699422</v>
      </c>
      <c r="F18" s="19">
        <f>IF(COUNTIFS(Testes[Serviço],"Async",Testes[Instância],"ml.p5e.48xlarge",Testes[Fracionamento],"Não",Testes[Teste],$C$4)=0,"",IFERROR(AVERAGEIFS(Testes[Tempo total (min)],Testes[Serviço],"Async",Testes[Instância],"ml.p5e.48xlarge",Testes[Fracionamento],"Não",Testes[Teste],$C$4)/1440,""))</f>
        <v>4.9861111111111113E-3</v>
      </c>
      <c r="G18" s="19">
        <f>IF(ISNUMBER(D18),24000000/D18/86400,"")</f>
        <v>0.11993859144118212</v>
      </c>
      <c r="H18" s="20">
        <f>IF(COUNTIFS(Testes[Serviço],"Async",Testes[Instância],"ml.p5e.48xlarge",Testes[Fracionamento],"Não",Testes[Teste],$C$4)=0,"",IFERROR(AVERAGEIFS(Testes[% ok],Testes[Serviço],"Async",Testes[Instância],"ml.p5e.48xlarge",Testes[Fracionamento],"Não",Testes[Teste],$C$4),""))</f>
        <v>1</v>
      </c>
      <c r="I18" s="21">
        <f>IF(COUNTIFS(Testes[Serviço],"Async",Testes[Instância],"ml.p5e.48xlarge",Testes[Fracionamento],"Não",Testes[Teste],$C$4)=0,"",SUMIFS(Testes[Falhas],Testes[Serviço],"Async",Testes[Instância],"ml.p5e.48xlarge",Testes[Fracionamento],"Não",Testes[Teste],$C$4))</f>
        <v>0</v>
      </c>
      <c r="J18" s="22" t="str">
        <f>IF(COUNTIFS(Testes[Serviço],"Async",Testes[Instância],"ml.p5e.48xlarge",Testes[Fracionamento],"Não",Testes[Teste],$C$4)=0,"",IFERROR(AVERAGEIFS(Testes[Custo (USD)],Testes[Serviço],"Async",Testes[Instância],"ml.p5e.48xlarge",Testes[Fracionamento],"Não",Testes[Teste],$C$4),""))</f>
        <v/>
      </c>
      <c r="K18" s="22" t="str">
        <f>IF(COUNTIFS(Testes[Serviço],"Async",Testes[Instância],"ml.p5e.48xlarge",Testes[Fracionamento],"Não",Testes[Teste],$C$4)=0,"",IFERROR(AVERAGEIFS(Testes[Custo por 1M linhas (USD)],Testes[Serviço],"Async",Testes[Instância],"ml.p5e.48xlarge",Testes[Fracionamento],"Não",Testes[Teste],$C$4),""))</f>
        <v/>
      </c>
      <c r="L18" s="23" t="str">
        <f>IF(ISNUMBER(K18),K18*24,"")</f>
        <v/>
      </c>
      <c r="M18" s="20">
        <f>IF(COUNTIFS(Testes[Serviço],"Async",Testes[Instância],"ml.p5e.48xlarge",Testes[Fracionamento],"Não",Testes[Teste],$C$4)=0,"",IFERROR(AVERAGEIFS(Testes[GPU média /GPU],Testes[Serviço],"Async",Testes[Instância],"ml.p5e.48xlarge",Testes[Fracionamento],"Não",Testes[Teste],$C$4),""))</f>
        <v>0.28375</v>
      </c>
      <c r="N18" s="20" t="str">
        <f>IF(COUNTIFS(Testes[Serviço],"Async",Testes[Instância],"ml.p5e.48xlarge",Testes[Fracionamento],"Não",Testes[Teste],$C$4)=0,"",IFERROR(AVERAGEIFS(Testes[Mem. GPU média /GPU],Testes[Serviço],"Async",Testes[Instância],"ml.p5e.48xlarge",Testes[Fracionamento],"Não",Testes[Teste],$C$4),""))</f>
        <v/>
      </c>
      <c r="O18" s="21">
        <f>IF(COUNTIFS(Testes[Serviço],"Async",Testes[Instância],"ml.p5e.48xlarge",Testes[Fracionamento],"Não",Testes[Teste],$C$4)=0,"",IFERROR(AVERAGEIFS(Testes[ModelLatency (s)],Testes[Serviço],"Async",Testes[Instância],"ml.p5e.48xlarge",Testes[Fracionamento],"Não",Testes[Teste],$C$4),""))</f>
        <v>64.400000000000006</v>
      </c>
      <c r="P18" s="24" t="str">
        <f>IF(NOT(ISNUMBER(D18)),"não testado",IF(ROW()=14,"referência"&amp;IF(I18&gt;0," · "&amp;I18&amp;" falha(s)",""),IF(E18&gt;=1,TEXT(1+E18,"0")&amp;"× mais rápida",IF(E18&gt;=0.1,"mais rápida ("&amp;TEXT(E18,"+0%")&amp;")",IF(E18&lt;=-0.05,"mais lenta ("&amp;TEXT(E18,"0%")&amp;")","parecida ("&amp;TEXT(E18,"+0%;-0%")&amp;")")))&amp;IF(N(H18)&lt;0.95," · só "&amp;TEXT(H18,"0%")&amp;" ok",IF(I18&gt;0," · "&amp;I18&amp;" falha(s)",""))))</f>
        <v>13× mais rápida</v>
      </c>
      <c r="S18" s="25" t="s">
        <v>37</v>
      </c>
    </row>
    <row r="21" spans="1:19" ht="24" customHeight="1" x14ac:dyDescent="0.25">
      <c r="B21" s="28" t="s">
        <v>38</v>
      </c>
    </row>
    <row r="22" spans="1:19" ht="32.1" customHeight="1" x14ac:dyDescent="0.25">
      <c r="A22" s="29"/>
      <c r="B22" s="30" t="s">
        <v>39</v>
      </c>
      <c r="C22" s="64" t="s">
        <v>40</v>
      </c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</row>
    <row r="23" spans="1:19" ht="5.0999999999999996" customHeight="1" x14ac:dyDescent="0.25"/>
    <row r="24" spans="1:19" ht="32.1" customHeight="1" x14ac:dyDescent="0.25">
      <c r="A24" s="31"/>
      <c r="B24" s="32" t="s">
        <v>41</v>
      </c>
      <c r="C24" s="64" t="s">
        <v>42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</row>
    <row r="25" spans="1:19" ht="5.0999999999999996" customHeight="1" x14ac:dyDescent="0.25"/>
    <row r="26" spans="1:19" ht="32.1" customHeight="1" x14ac:dyDescent="0.25">
      <c r="A26" s="29"/>
      <c r="B26" s="30" t="s">
        <v>43</v>
      </c>
      <c r="C26" s="64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</row>
    <row r="27" spans="1:19" ht="5.0999999999999996" customHeight="1" x14ac:dyDescent="0.25"/>
    <row r="28" spans="1:19" ht="32.1" customHeight="1" x14ac:dyDescent="0.25">
      <c r="A28" s="33"/>
      <c r="B28" s="34" t="s">
        <v>45</v>
      </c>
      <c r="C28" s="64" t="s">
        <v>46</v>
      </c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</row>
    <row r="29" spans="1:19" ht="5.0999999999999996" customHeight="1" x14ac:dyDescent="0.25"/>
    <row r="30" spans="1:19" ht="32.1" customHeight="1" x14ac:dyDescent="0.25">
      <c r="A30" s="35"/>
      <c r="B30" s="36" t="s">
        <v>47</v>
      </c>
      <c r="C30" s="64" t="s">
        <v>48</v>
      </c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</row>
    <row r="31" spans="1:19" ht="5.0999999999999996" customHeight="1" x14ac:dyDescent="0.25"/>
    <row r="33" spans="2:2" x14ac:dyDescent="0.25">
      <c r="B33" s="37" t="s">
        <v>49</v>
      </c>
    </row>
    <row r="34" spans="2:2" x14ac:dyDescent="0.25">
      <c r="B34" s="38" t="s">
        <v>50</v>
      </c>
    </row>
    <row r="35" spans="2:2" x14ac:dyDescent="0.25">
      <c r="B35" s="38" t="s">
        <v>51</v>
      </c>
    </row>
    <row r="36" spans="2:2" x14ac:dyDescent="0.25">
      <c r="B36" s="38" t="s">
        <v>52</v>
      </c>
    </row>
    <row r="37" spans="2:2" x14ac:dyDescent="0.25">
      <c r="B37" s="38" t="s">
        <v>53</v>
      </c>
    </row>
    <row r="38" spans="2:2" x14ac:dyDescent="0.25">
      <c r="B38" s="38" t="s">
        <v>54</v>
      </c>
    </row>
    <row r="39" spans="2:2" x14ac:dyDescent="0.25">
      <c r="B39" s="38" t="s">
        <v>55</v>
      </c>
    </row>
    <row r="41" spans="2:2" x14ac:dyDescent="0.25">
      <c r="B41" s="37" t="s">
        <v>56</v>
      </c>
    </row>
  </sheetData>
  <mergeCells count="11">
    <mergeCell ref="C30:P30"/>
    <mergeCell ref="M6:O6"/>
    <mergeCell ref="C28:P28"/>
    <mergeCell ref="C22:P22"/>
    <mergeCell ref="C4:D4"/>
    <mergeCell ref="B6:C6"/>
    <mergeCell ref="J6:L6"/>
    <mergeCell ref="C26:P26"/>
    <mergeCell ref="H6:I6"/>
    <mergeCell ref="D6:G6"/>
    <mergeCell ref="C24:P24"/>
  </mergeCells>
  <conditionalFormatting sqref="B9:P18">
    <cfRule type="expression" dxfId="10" priority="8">
      <formula>$P9="não testado"</formula>
    </cfRule>
  </conditionalFormatting>
  <conditionalFormatting sqref="D9:D18">
    <cfRule type="dataBar" priority="1">
      <dataBar>
        <cfvo type="num" val="0"/>
        <cfvo type="max"/>
        <color rgb="FF81C784"/>
      </dataBar>
    </cfRule>
  </conditionalFormatting>
  <conditionalFormatting sqref="E9:E18">
    <cfRule type="expression" dxfId="9" priority="3">
      <formula>AND(ISNUMBER(E9),E9&gt;=0.1)</formula>
    </cfRule>
    <cfRule type="expression" dxfId="8" priority="4">
      <formula>AND(ISNUMBER(E9),E9&lt;=-0.05)</formula>
    </cfRule>
  </conditionalFormatting>
  <conditionalFormatting sqref="H9:H18">
    <cfRule type="expression" dxfId="7" priority="9">
      <formula>AND(ISNUMBER(H9),H9&lt;0.95)</formula>
    </cfRule>
  </conditionalFormatting>
  <conditionalFormatting sqref="M9:N18">
    <cfRule type="colorScale" priority="2">
      <colorScale>
        <cfvo type="num" val="0"/>
        <cfvo type="num" val="1"/>
        <color rgb="FFFFFFFF"/>
        <color rgb="FFF8B98B"/>
      </colorScale>
    </cfRule>
  </conditionalFormatting>
  <conditionalFormatting sqref="P9:P18">
    <cfRule type="expression" dxfId="6" priority="5">
      <formula>LEFT(P9,11)="mais rápida"</formula>
    </cfRule>
    <cfRule type="expression" dxfId="5" priority="6">
      <formula>ISNUMBER(SEARCH("×",P9))</formula>
    </cfRule>
    <cfRule type="expression" dxfId="4" priority="7">
      <formula>OR(LEFT(P9,10)="mais lenta",ISNUMBER(SEARCH(" ok",P9)),ISNUMBER(SEARCH("falha",P9)))</formula>
    </cfRule>
  </conditionalFormatting>
  <dataValidations count="1">
    <dataValidation type="list" allowBlank="1" sqref="C4" xr:uid="{00000000-0002-0000-0000-000000000000}">
      <formula1>"1 req./arquivo,Lote 40,1M,Rodada longa,8 req. em voo"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showGridLines="0" workbookViewId="0"/>
  </sheetViews>
  <sheetFormatPr defaultRowHeight="15" x14ac:dyDescent="0.25"/>
  <cols>
    <col min="1" max="1" width="120" customWidth="1"/>
  </cols>
  <sheetData>
    <row r="1" spans="1:1" ht="18" x14ac:dyDescent="0.25">
      <c r="A1" s="39" t="s">
        <v>57</v>
      </c>
    </row>
    <row r="2" spans="1:1" x14ac:dyDescent="0.25">
      <c r="A2" s="40"/>
    </row>
    <row r="3" spans="1:1" x14ac:dyDescent="0.25">
      <c r="A3" s="41" t="s">
        <v>58</v>
      </c>
    </row>
    <row r="4" spans="1:1" ht="27.95" customHeight="1" x14ac:dyDescent="0.25">
      <c r="A4" s="40" t="s">
        <v>59</v>
      </c>
    </row>
    <row r="5" spans="1:1" ht="27.95" customHeight="1" x14ac:dyDescent="0.25">
      <c r="A5" s="40" t="s">
        <v>60</v>
      </c>
    </row>
    <row r="6" spans="1:1" ht="27.95" customHeight="1" x14ac:dyDescent="0.25">
      <c r="A6" s="40" t="s">
        <v>61</v>
      </c>
    </row>
    <row r="7" spans="1:1" ht="27.95" customHeight="1" x14ac:dyDescent="0.25">
      <c r="A7" s="40"/>
    </row>
    <row r="8" spans="1:1" ht="27.95" customHeight="1" x14ac:dyDescent="0.25">
      <c r="A8" s="41" t="s">
        <v>62</v>
      </c>
    </row>
    <row r="9" spans="1:1" ht="27.95" customHeight="1" x14ac:dyDescent="0.25">
      <c r="A9" s="40" t="s">
        <v>63</v>
      </c>
    </row>
    <row r="10" spans="1:1" ht="27.95" customHeight="1" x14ac:dyDescent="0.25">
      <c r="A10" s="40" t="s">
        <v>64</v>
      </c>
    </row>
    <row r="11" spans="1:1" ht="27.95" customHeight="1" x14ac:dyDescent="0.25">
      <c r="A11" s="40" t="s">
        <v>65</v>
      </c>
    </row>
    <row r="12" spans="1:1" ht="27.95" customHeight="1" x14ac:dyDescent="0.25">
      <c r="A12" s="40"/>
    </row>
    <row r="13" spans="1:1" ht="27.95" customHeight="1" x14ac:dyDescent="0.25">
      <c r="A13" s="41" t="s">
        <v>66</v>
      </c>
    </row>
    <row r="14" spans="1:1" ht="27.95" customHeight="1" x14ac:dyDescent="0.25">
      <c r="A14" s="40" t="s">
        <v>67</v>
      </c>
    </row>
    <row r="15" spans="1:1" ht="27.95" customHeight="1" x14ac:dyDescent="0.25">
      <c r="A15" s="40" t="s">
        <v>68</v>
      </c>
    </row>
    <row r="16" spans="1:1" ht="27.95" customHeight="1" x14ac:dyDescent="0.25">
      <c r="A16" s="40" t="s">
        <v>69</v>
      </c>
    </row>
    <row r="17" spans="1:1" ht="27.95" customHeight="1" x14ac:dyDescent="0.25">
      <c r="A17" s="40"/>
    </row>
    <row r="18" spans="1:1" ht="27.95" customHeight="1" x14ac:dyDescent="0.25">
      <c r="A18" s="41" t="s">
        <v>70</v>
      </c>
    </row>
    <row r="19" spans="1:1" ht="27.95" customHeight="1" x14ac:dyDescent="0.25">
      <c r="A19" s="40" t="s">
        <v>71</v>
      </c>
    </row>
    <row r="20" spans="1:1" ht="27.95" customHeight="1" x14ac:dyDescent="0.25">
      <c r="A20" s="40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14" customWidth="1"/>
    <col min="3" max="3" width="9" customWidth="1"/>
    <col min="4" max="4" width="12" customWidth="1"/>
    <col min="5" max="5" width="14" customWidth="1"/>
    <col min="6" max="6" width="8" customWidth="1"/>
    <col min="7" max="7" width="10" customWidth="1"/>
    <col min="8" max="8" width="14" customWidth="1"/>
    <col min="9" max="9" width="22" customWidth="1"/>
    <col min="10" max="11" width="14" customWidth="1"/>
    <col min="12" max="12" width="48" customWidth="1"/>
  </cols>
  <sheetData>
    <row r="1" spans="1:12" ht="36" customHeight="1" x14ac:dyDescent="0.25">
      <c r="A1" s="42" t="s">
        <v>10</v>
      </c>
      <c r="B1" s="42" t="s">
        <v>73</v>
      </c>
      <c r="C1" s="42" t="s">
        <v>74</v>
      </c>
      <c r="D1" s="42" t="s">
        <v>75</v>
      </c>
      <c r="E1" s="42" t="s">
        <v>76</v>
      </c>
      <c r="F1" s="42" t="s">
        <v>77</v>
      </c>
      <c r="G1" s="42" t="s">
        <v>78</v>
      </c>
      <c r="H1" s="42" t="s">
        <v>79</v>
      </c>
      <c r="I1" s="42" t="s">
        <v>80</v>
      </c>
      <c r="J1" s="42" t="s">
        <v>81</v>
      </c>
      <c r="K1" s="42" t="s">
        <v>82</v>
      </c>
      <c r="L1" s="42" t="s">
        <v>83</v>
      </c>
    </row>
    <row r="2" spans="1:12" ht="21.95" customHeight="1" x14ac:dyDescent="0.25">
      <c r="A2" s="43" t="s">
        <v>84</v>
      </c>
      <c r="B2" s="43" t="s">
        <v>85</v>
      </c>
      <c r="C2" s="43">
        <v>4</v>
      </c>
      <c r="D2" s="43">
        <v>24</v>
      </c>
      <c r="E2" s="44">
        <f>C2*D2</f>
        <v>96</v>
      </c>
      <c r="F2" s="43">
        <v>48</v>
      </c>
      <c r="G2" s="43">
        <v>192</v>
      </c>
      <c r="H2" s="43" t="s">
        <v>86</v>
      </c>
      <c r="I2" s="43" t="s">
        <v>87</v>
      </c>
      <c r="J2" s="45"/>
      <c r="K2" s="45"/>
      <c r="L2" s="46" t="s">
        <v>88</v>
      </c>
    </row>
    <row r="3" spans="1:12" ht="21.95" customHeight="1" x14ac:dyDescent="0.25">
      <c r="A3" s="43" t="s">
        <v>89</v>
      </c>
      <c r="B3" s="43" t="s">
        <v>90</v>
      </c>
      <c r="C3" s="43">
        <v>4</v>
      </c>
      <c r="D3" s="43">
        <v>24</v>
      </c>
      <c r="E3" s="44">
        <f>C3*D3</f>
        <v>96</v>
      </c>
      <c r="F3" s="43">
        <v>48</v>
      </c>
      <c r="G3" s="43">
        <v>192</v>
      </c>
      <c r="H3" s="43" t="s">
        <v>86</v>
      </c>
      <c r="I3" s="43" t="s">
        <v>91</v>
      </c>
      <c r="J3" s="45"/>
      <c r="K3" s="45"/>
      <c r="L3" s="46" t="s">
        <v>88</v>
      </c>
    </row>
    <row r="4" spans="1:12" ht="21.95" customHeight="1" x14ac:dyDescent="0.25">
      <c r="A4" s="43" t="s">
        <v>92</v>
      </c>
      <c r="B4" s="43" t="s">
        <v>93</v>
      </c>
      <c r="C4" s="43">
        <v>8</v>
      </c>
      <c r="D4" s="43">
        <v>141</v>
      </c>
      <c r="E4" s="44">
        <f>C4*D4</f>
        <v>1128</v>
      </c>
      <c r="F4" s="43">
        <v>192</v>
      </c>
      <c r="G4" s="43">
        <v>2048</v>
      </c>
      <c r="H4" s="43" t="s">
        <v>94</v>
      </c>
      <c r="I4" s="43" t="s">
        <v>95</v>
      </c>
      <c r="J4" s="45"/>
      <c r="K4" s="45"/>
      <c r="L4" s="46" t="s">
        <v>96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Right="0"/>
  </sheetPr>
  <dimension ref="A1:AR20"/>
  <sheetViews>
    <sheetView showGridLines="0" workbookViewId="0">
      <pane xSplit="6" ySplit="2" topLeftCell="G3" activePane="bottomRight" state="frozen"/>
      <selection pane="topRight"/>
      <selection pane="bottomLeft"/>
      <selection pane="bottomRight"/>
    </sheetView>
  </sheetViews>
  <sheetFormatPr defaultRowHeight="15" outlineLevelCol="1" x14ac:dyDescent="0.25"/>
  <cols>
    <col min="1" max="1" width="8" customWidth="1"/>
    <col min="2" max="2" width="11" customWidth="1"/>
    <col min="3" max="3" width="9" customWidth="1"/>
    <col min="4" max="4" width="16" customWidth="1"/>
    <col min="5" max="5" width="13" customWidth="1"/>
    <col min="6" max="6" width="15" customWidth="1"/>
    <col min="7" max="7" width="12" customWidth="1"/>
    <col min="8" max="8" width="10" hidden="1" customWidth="1" outlineLevel="1"/>
    <col min="9" max="9" width="9" customWidth="1"/>
    <col min="10" max="10" width="11" customWidth="1"/>
    <col min="11" max="13" width="11" hidden="1" customWidth="1" outlineLevel="1"/>
    <col min="14" max="14" width="8" customWidth="1"/>
    <col min="15" max="15" width="12" customWidth="1"/>
    <col min="16" max="17" width="12" hidden="1" customWidth="1" outlineLevel="1"/>
    <col min="18" max="18" width="11" customWidth="1"/>
    <col min="19" max="19" width="14" customWidth="1"/>
    <col min="20" max="21" width="12" hidden="1" customWidth="1" outlineLevel="1"/>
    <col min="22" max="22" width="10" customWidth="1"/>
    <col min="23" max="23" width="8" customWidth="1"/>
    <col min="24" max="33" width="9" hidden="1" customWidth="1" outlineLevel="1"/>
    <col min="34" max="34" width="9" customWidth="1"/>
    <col min="35" max="35" width="9" hidden="1" customWidth="1" outlineLevel="1"/>
    <col min="36" max="36" width="9" customWidth="1"/>
    <col min="37" max="37" width="9" hidden="1" customWidth="1" outlineLevel="1"/>
    <col min="38" max="38" width="9" customWidth="1"/>
    <col min="39" max="40" width="11" hidden="1" customWidth="1" outlineLevel="1"/>
    <col min="41" max="41" width="10" customWidth="1"/>
    <col min="42" max="42" width="11" customWidth="1"/>
    <col min="43" max="43" width="9" customWidth="1"/>
    <col min="44" max="44" width="75" customWidth="1"/>
  </cols>
  <sheetData>
    <row r="1" spans="1:44" x14ac:dyDescent="0.25">
      <c r="A1" s="76" t="s">
        <v>97</v>
      </c>
      <c r="B1" s="65"/>
      <c r="C1" s="65"/>
      <c r="D1" s="65"/>
      <c r="E1" s="65"/>
      <c r="F1" s="65"/>
      <c r="G1" s="78" t="s">
        <v>98</v>
      </c>
      <c r="H1" s="65"/>
      <c r="I1" s="65"/>
      <c r="J1" s="65"/>
      <c r="K1" s="65"/>
      <c r="L1" s="74" t="s">
        <v>99</v>
      </c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77" t="s">
        <v>100</v>
      </c>
      <c r="Y1" s="65"/>
      <c r="Z1" s="65"/>
      <c r="AA1" s="65"/>
      <c r="AB1" s="65"/>
      <c r="AC1" s="65"/>
      <c r="AD1" s="65"/>
      <c r="AE1" s="65"/>
      <c r="AF1" s="77" t="s">
        <v>101</v>
      </c>
      <c r="AG1" s="65"/>
      <c r="AH1" s="65"/>
      <c r="AI1" s="65"/>
      <c r="AJ1" s="65"/>
      <c r="AK1" s="65"/>
      <c r="AL1" s="65"/>
      <c r="AM1" s="75" t="s">
        <v>8</v>
      </c>
      <c r="AN1" s="65"/>
      <c r="AO1" s="65"/>
      <c r="AP1" s="65"/>
      <c r="AQ1" s="79" t="s">
        <v>102</v>
      </c>
      <c r="AR1" s="65"/>
    </row>
    <row r="2" spans="1:44" ht="57.95" customHeight="1" x14ac:dyDescent="0.25">
      <c r="A2" s="47" t="s">
        <v>103</v>
      </c>
      <c r="B2" s="47" t="s">
        <v>104</v>
      </c>
      <c r="C2" s="47" t="s">
        <v>105</v>
      </c>
      <c r="D2" s="47" t="s">
        <v>10</v>
      </c>
      <c r="E2" s="47" t="s">
        <v>11</v>
      </c>
      <c r="F2" s="47" t="s">
        <v>106</v>
      </c>
      <c r="G2" s="48" t="s">
        <v>73</v>
      </c>
      <c r="H2" s="48" t="s">
        <v>107</v>
      </c>
      <c r="I2" s="48" t="s">
        <v>108</v>
      </c>
      <c r="J2" s="48" t="s">
        <v>109</v>
      </c>
      <c r="K2" s="48" t="s">
        <v>110</v>
      </c>
      <c r="L2" s="49" t="s">
        <v>111</v>
      </c>
      <c r="M2" s="49" t="s">
        <v>112</v>
      </c>
      <c r="N2" s="49" t="s">
        <v>113</v>
      </c>
      <c r="O2" s="49" t="s">
        <v>114</v>
      </c>
      <c r="P2" s="49" t="s">
        <v>115</v>
      </c>
      <c r="Q2" s="49" t="s">
        <v>116</v>
      </c>
      <c r="R2" s="49" t="s">
        <v>117</v>
      </c>
      <c r="S2" s="49" t="s">
        <v>118</v>
      </c>
      <c r="T2" s="49" t="s">
        <v>119</v>
      </c>
      <c r="U2" s="49" t="s">
        <v>120</v>
      </c>
      <c r="V2" s="49" t="s">
        <v>121</v>
      </c>
      <c r="W2" s="49" t="s">
        <v>17</v>
      </c>
      <c r="X2" s="50" t="s">
        <v>122</v>
      </c>
      <c r="Y2" s="50" t="s">
        <v>123</v>
      </c>
      <c r="Z2" s="50" t="s">
        <v>124</v>
      </c>
      <c r="AA2" s="50" t="s">
        <v>125</v>
      </c>
      <c r="AB2" s="50" t="s">
        <v>126</v>
      </c>
      <c r="AC2" s="50" t="s">
        <v>127</v>
      </c>
      <c r="AD2" s="50" t="s">
        <v>128</v>
      </c>
      <c r="AE2" s="50" t="s">
        <v>129</v>
      </c>
      <c r="AF2" s="50" t="s">
        <v>74</v>
      </c>
      <c r="AG2" s="50" t="s">
        <v>77</v>
      </c>
      <c r="AH2" s="50" t="s">
        <v>130</v>
      </c>
      <c r="AI2" s="50" t="s">
        <v>131</v>
      </c>
      <c r="AJ2" s="50" t="s">
        <v>132</v>
      </c>
      <c r="AK2" s="50" t="s">
        <v>133</v>
      </c>
      <c r="AL2" s="50" t="s">
        <v>134</v>
      </c>
      <c r="AM2" s="51" t="s">
        <v>135</v>
      </c>
      <c r="AN2" s="51" t="s">
        <v>136</v>
      </c>
      <c r="AO2" s="51" t="s">
        <v>137</v>
      </c>
      <c r="AP2" s="51" t="s">
        <v>138</v>
      </c>
      <c r="AQ2" s="52" t="s">
        <v>139</v>
      </c>
      <c r="AR2" s="52" t="s">
        <v>140</v>
      </c>
    </row>
    <row r="3" spans="1:44" ht="20.100000000000001" customHeight="1" x14ac:dyDescent="0.25">
      <c r="A3" s="53" t="s">
        <v>141</v>
      </c>
      <c r="B3" s="53"/>
      <c r="C3" s="53" t="s">
        <v>142</v>
      </c>
      <c r="D3" s="53" t="s">
        <v>84</v>
      </c>
      <c r="E3" s="53" t="s">
        <v>143</v>
      </c>
      <c r="F3" s="53" t="s">
        <v>144</v>
      </c>
      <c r="G3" s="54" t="str">
        <f>IFERROR(INDEX(Instancias!$B$2:$B$4,MATCH(D3,Instancias!$A$2:$A$4,0)),"")</f>
        <v>NVIDIA L4</v>
      </c>
      <c r="H3" s="53">
        <v>1</v>
      </c>
      <c r="I3" s="53">
        <v>4</v>
      </c>
      <c r="J3" s="53">
        <v>4</v>
      </c>
      <c r="K3" s="55">
        <v>5000</v>
      </c>
      <c r="L3" s="53">
        <v>1</v>
      </c>
      <c r="M3" s="53">
        <v>1</v>
      </c>
      <c r="N3" s="56">
        <f t="shared" ref="N3:N20" si="0">IF(M3="","",L3/M3)</f>
        <v>1</v>
      </c>
      <c r="O3" s="55">
        <v>5000</v>
      </c>
      <c r="P3" s="57">
        <v>8.1</v>
      </c>
      <c r="Q3" s="57">
        <v>3.23</v>
      </c>
      <c r="R3" s="57">
        <v>11.35</v>
      </c>
      <c r="S3" s="55">
        <v>26</v>
      </c>
      <c r="T3" s="55">
        <v>7</v>
      </c>
      <c r="U3" s="55"/>
      <c r="V3" s="57"/>
      <c r="W3" s="53">
        <v>0</v>
      </c>
      <c r="X3" s="57">
        <v>100</v>
      </c>
      <c r="Y3" s="57">
        <v>50</v>
      </c>
      <c r="Z3" s="57">
        <v>21.48</v>
      </c>
      <c r="AA3" s="57">
        <v>20.5</v>
      </c>
      <c r="AB3" s="57">
        <v>177.93</v>
      </c>
      <c r="AC3" s="57">
        <v>234</v>
      </c>
      <c r="AD3" s="57">
        <v>3.74</v>
      </c>
      <c r="AE3" s="57">
        <v>4.7</v>
      </c>
      <c r="AF3" s="54">
        <f>IFERROR(INDEX(Instancias!$C$2:$C$4,MATCH(D3,Instancias!$A$2:$A$4,0)),"")</f>
        <v>4</v>
      </c>
      <c r="AG3" s="54">
        <f>IFERROR(INDEX(Instancias!$F$2:$F$4,MATCH(D3,Instancias!$A$2:$A$4,0)),"")</f>
        <v>48</v>
      </c>
      <c r="AH3" s="56">
        <f t="shared" ref="AH3:AH20" si="1">IF(OR(X3="",AF3=""),"",X3/AF3/100)</f>
        <v>0.25</v>
      </c>
      <c r="AI3" s="56">
        <f t="shared" ref="AI3:AI20" si="2">IF(OR(Y3="",AF3=""),"",Y3/AF3/100)</f>
        <v>0.125</v>
      </c>
      <c r="AJ3" s="56">
        <f t="shared" ref="AJ3:AJ20" si="3">IF(OR(Z3="",AF3=""),"",Z3/AF3/100)</f>
        <v>5.3699999999999998E-2</v>
      </c>
      <c r="AK3" s="56">
        <f t="shared" ref="AK3:AK20" si="4">IF(OR(AA3="",AF3=""),"",AA3/AF3/100)</f>
        <v>5.1249999999999997E-2</v>
      </c>
      <c r="AL3" s="56">
        <f t="shared" ref="AL3:AL20" si="5">IF(OR(AB3="",AG3=""),"",AB3/AG3/100)</f>
        <v>3.7068750000000004E-2</v>
      </c>
      <c r="AM3" s="58">
        <v>0.3</v>
      </c>
      <c r="AN3" s="59" t="str">
        <f>IFERROR(IF(IF(C3="Batch",IFERROR(INDEX(Instancias!$J$2:$J$4,MATCH(D3,Instancias!$A$2:$A$4,0)),""),IFERROR(INDEX(Instancias!$K$2:$K$4,MATCH(D3,Instancias!$A$2:$A$4,0)),""))=0,"",IF(C3="Batch",IFERROR(INDEX(Instancias!$J$2:$J$4,MATCH(D3,Instancias!$A$2:$A$4,0)),""),IFERROR(INDEX(Instancias!$K$2:$K$4,MATCH(D3,Instancias!$A$2:$A$4,0)),""))),"")</f>
        <v/>
      </c>
      <c r="AO3" s="59">
        <f t="shared" ref="AO3:AO20" si="6">IF(AM3&lt;&gt;"",AM3,IF(OR(N(AN3)=0,R3=""),"",IF(C3="Batch",R3-N(P3),R3)/60*AN3))</f>
        <v>0.3</v>
      </c>
      <c r="AP3" s="59">
        <f t="shared" ref="AP3:AP20" si="7">IF(OR(AO3="",N(O3)=0),"",AO3/(O3/1000000))</f>
        <v>60</v>
      </c>
      <c r="AQ3" s="53" t="s">
        <v>145</v>
      </c>
      <c r="AR3" s="53" t="s">
        <v>146</v>
      </c>
    </row>
    <row r="4" spans="1:44" ht="20.100000000000001" customHeight="1" x14ac:dyDescent="0.25">
      <c r="A4" s="53" t="s">
        <v>147</v>
      </c>
      <c r="B4" s="53"/>
      <c r="C4" s="53" t="s">
        <v>142</v>
      </c>
      <c r="D4" s="53" t="s">
        <v>84</v>
      </c>
      <c r="E4" s="53" t="s">
        <v>143</v>
      </c>
      <c r="F4" s="53" t="s">
        <v>148</v>
      </c>
      <c r="G4" s="54" t="str">
        <f>IFERROR(INDEX(Instancias!$B$2:$B$4,MATCH(D4,Instancias!$A$2:$A$4,0)),"")</f>
        <v>NVIDIA L4</v>
      </c>
      <c r="H4" s="53">
        <v>1</v>
      </c>
      <c r="I4" s="53">
        <v>4</v>
      </c>
      <c r="J4" s="53">
        <v>8</v>
      </c>
      <c r="K4" s="55">
        <v>5000</v>
      </c>
      <c r="L4" s="53">
        <v>40</v>
      </c>
      <c r="M4" s="53">
        <v>40</v>
      </c>
      <c r="N4" s="56">
        <f t="shared" si="0"/>
        <v>1</v>
      </c>
      <c r="O4" s="55">
        <v>191486</v>
      </c>
      <c r="P4" s="57">
        <v>3.33</v>
      </c>
      <c r="Q4" s="57">
        <v>19.87</v>
      </c>
      <c r="R4" s="57">
        <v>23.22</v>
      </c>
      <c r="S4" s="55">
        <v>161</v>
      </c>
      <c r="T4" s="55">
        <v>137</v>
      </c>
      <c r="U4" s="55"/>
      <c r="V4" s="57"/>
      <c r="W4" s="53">
        <v>0</v>
      </c>
      <c r="X4" s="57">
        <v>256</v>
      </c>
      <c r="Y4" s="57">
        <v>380</v>
      </c>
      <c r="Z4" s="57">
        <v>38.299999999999997</v>
      </c>
      <c r="AA4" s="57">
        <v>54.7</v>
      </c>
      <c r="AB4" s="57">
        <v>366</v>
      </c>
      <c r="AC4" s="57">
        <v>514</v>
      </c>
      <c r="AD4" s="57">
        <v>7.34</v>
      </c>
      <c r="AE4" s="57">
        <v>8</v>
      </c>
      <c r="AF4" s="54">
        <f>IFERROR(INDEX(Instancias!$C$2:$C$4,MATCH(D4,Instancias!$A$2:$A$4,0)),"")</f>
        <v>4</v>
      </c>
      <c r="AG4" s="54">
        <f>IFERROR(INDEX(Instancias!$F$2:$F$4,MATCH(D4,Instancias!$A$2:$A$4,0)),"")</f>
        <v>48</v>
      </c>
      <c r="AH4" s="56">
        <f t="shared" si="1"/>
        <v>0.64</v>
      </c>
      <c r="AI4" s="56">
        <f t="shared" si="2"/>
        <v>0.95</v>
      </c>
      <c r="AJ4" s="56">
        <f t="shared" si="3"/>
        <v>9.5749999999999988E-2</v>
      </c>
      <c r="AK4" s="56">
        <f t="shared" si="4"/>
        <v>0.13675000000000001</v>
      </c>
      <c r="AL4" s="56">
        <f t="shared" si="5"/>
        <v>7.6249999999999998E-2</v>
      </c>
      <c r="AM4" s="58">
        <v>1.84</v>
      </c>
      <c r="AN4" s="59" t="str">
        <f>IFERROR(IF(IF(C4="Batch",IFERROR(INDEX(Instancias!$J$2:$J$4,MATCH(D4,Instancias!$A$2:$A$4,0)),""),IFERROR(INDEX(Instancias!$K$2:$K$4,MATCH(D4,Instancias!$A$2:$A$4,0)),""))=0,"",IF(C4="Batch",IFERROR(INDEX(Instancias!$J$2:$J$4,MATCH(D4,Instancias!$A$2:$A$4,0)),""),IFERROR(INDEX(Instancias!$K$2:$K$4,MATCH(D4,Instancias!$A$2:$A$4,0)),""))),"")</f>
        <v/>
      </c>
      <c r="AO4" s="59">
        <f t="shared" si="6"/>
        <v>1.84</v>
      </c>
      <c r="AP4" s="59">
        <f t="shared" si="7"/>
        <v>9.6090575812330936</v>
      </c>
      <c r="AQ4" s="53" t="s">
        <v>145</v>
      </c>
      <c r="AR4" s="53"/>
    </row>
    <row r="5" spans="1:44" ht="20.100000000000001" customHeight="1" x14ac:dyDescent="0.25">
      <c r="A5" s="53" t="s">
        <v>149</v>
      </c>
      <c r="B5" s="53"/>
      <c r="C5" s="53" t="s">
        <v>142</v>
      </c>
      <c r="D5" s="53" t="s">
        <v>84</v>
      </c>
      <c r="E5" s="53" t="s">
        <v>143</v>
      </c>
      <c r="F5" s="53" t="s">
        <v>3</v>
      </c>
      <c r="G5" s="54" t="str">
        <f>IFERROR(INDEX(Instancias!$B$2:$B$4,MATCH(D5,Instancias!$A$2:$A$4,0)),"")</f>
        <v>NVIDIA L4</v>
      </c>
      <c r="H5" s="53">
        <v>1</v>
      </c>
      <c r="I5" s="53">
        <v>4</v>
      </c>
      <c r="J5" s="53">
        <v>8</v>
      </c>
      <c r="K5" s="55">
        <v>5000</v>
      </c>
      <c r="L5" s="53">
        <v>200</v>
      </c>
      <c r="M5" s="53">
        <v>200</v>
      </c>
      <c r="N5" s="56">
        <f t="shared" si="0"/>
        <v>1</v>
      </c>
      <c r="O5" s="55">
        <v>953173</v>
      </c>
      <c r="P5" s="57">
        <v>8.7799999999999994</v>
      </c>
      <c r="Q5" s="57">
        <v>90</v>
      </c>
      <c r="R5" s="57">
        <v>99</v>
      </c>
      <c r="S5" s="55">
        <v>176</v>
      </c>
      <c r="T5" s="55">
        <v>160</v>
      </c>
      <c r="U5" s="55"/>
      <c r="V5" s="57"/>
      <c r="W5" s="53">
        <v>0</v>
      </c>
      <c r="X5" s="57">
        <v>383</v>
      </c>
      <c r="Y5" s="57">
        <v>400</v>
      </c>
      <c r="Z5" s="57">
        <v>54.8</v>
      </c>
      <c r="AA5" s="57">
        <v>61.2</v>
      </c>
      <c r="AB5" s="57">
        <v>531</v>
      </c>
      <c r="AC5" s="57">
        <v>559</v>
      </c>
      <c r="AD5" s="57">
        <v>8.1</v>
      </c>
      <c r="AE5" s="57">
        <v>8.3000000000000007</v>
      </c>
      <c r="AF5" s="54">
        <f>IFERROR(INDEX(Instancias!$C$2:$C$4,MATCH(D5,Instancias!$A$2:$A$4,0)),"")</f>
        <v>4</v>
      </c>
      <c r="AG5" s="54">
        <f>IFERROR(INDEX(Instancias!$F$2:$F$4,MATCH(D5,Instancias!$A$2:$A$4,0)),"")</f>
        <v>48</v>
      </c>
      <c r="AH5" s="56">
        <f t="shared" si="1"/>
        <v>0.95750000000000002</v>
      </c>
      <c r="AI5" s="56">
        <f t="shared" si="2"/>
        <v>1</v>
      </c>
      <c r="AJ5" s="56">
        <f t="shared" si="3"/>
        <v>0.13699999999999998</v>
      </c>
      <c r="AK5" s="56">
        <f t="shared" si="4"/>
        <v>0.153</v>
      </c>
      <c r="AL5" s="56">
        <f t="shared" si="5"/>
        <v>0.110625</v>
      </c>
      <c r="AM5" s="58">
        <v>8.6300000000000008</v>
      </c>
      <c r="AN5" s="59" t="str">
        <f>IFERROR(IF(IF(C5="Batch",IFERROR(INDEX(Instancias!$J$2:$J$4,MATCH(D5,Instancias!$A$2:$A$4,0)),""),IFERROR(INDEX(Instancias!$K$2:$K$4,MATCH(D5,Instancias!$A$2:$A$4,0)),""))=0,"",IF(C5="Batch",IFERROR(INDEX(Instancias!$J$2:$J$4,MATCH(D5,Instancias!$A$2:$A$4,0)),""),IFERROR(INDEX(Instancias!$K$2:$K$4,MATCH(D5,Instancias!$A$2:$A$4,0)),""))),"")</f>
        <v/>
      </c>
      <c r="AO5" s="59">
        <f t="shared" si="6"/>
        <v>8.6300000000000008</v>
      </c>
      <c r="AP5" s="59">
        <f t="shared" si="7"/>
        <v>9.0539702656285908</v>
      </c>
      <c r="AQ5" s="53" t="s">
        <v>145</v>
      </c>
      <c r="AR5" s="53"/>
    </row>
    <row r="6" spans="1:44" ht="20.100000000000001" customHeight="1" x14ac:dyDescent="0.25">
      <c r="A6" s="53" t="s">
        <v>141</v>
      </c>
      <c r="B6" s="53" t="s">
        <v>150</v>
      </c>
      <c r="C6" s="53" t="s">
        <v>142</v>
      </c>
      <c r="D6" s="53" t="s">
        <v>89</v>
      </c>
      <c r="E6" s="53" t="s">
        <v>143</v>
      </c>
      <c r="F6" s="53" t="s">
        <v>144</v>
      </c>
      <c r="G6" s="54" t="str">
        <f>IFERROR(INDEX(Instancias!$B$2:$B$4,MATCH(D6,Instancias!$A$2:$A$4,0)),"")</f>
        <v>NVIDIA A10G</v>
      </c>
      <c r="H6" s="53">
        <v>1</v>
      </c>
      <c r="I6" s="53">
        <v>4</v>
      </c>
      <c r="J6" s="53">
        <v>8</v>
      </c>
      <c r="K6" s="55">
        <v>5000</v>
      </c>
      <c r="L6" s="53">
        <v>1</v>
      </c>
      <c r="M6" s="53">
        <v>1</v>
      </c>
      <c r="N6" s="56">
        <f t="shared" si="0"/>
        <v>1</v>
      </c>
      <c r="O6" s="55">
        <v>5000</v>
      </c>
      <c r="P6" s="57">
        <v>10.15</v>
      </c>
      <c r="Q6" s="57">
        <v>3</v>
      </c>
      <c r="R6" s="57">
        <v>13.05</v>
      </c>
      <c r="S6" s="55">
        <v>29</v>
      </c>
      <c r="T6" s="55">
        <v>6</v>
      </c>
      <c r="U6" s="55"/>
      <c r="V6" s="57"/>
      <c r="W6" s="53">
        <v>0</v>
      </c>
      <c r="X6" s="57">
        <v>0</v>
      </c>
      <c r="Y6" s="57">
        <v>0</v>
      </c>
      <c r="Z6" s="57">
        <v>13.2</v>
      </c>
      <c r="AA6" s="57">
        <v>13.2</v>
      </c>
      <c r="AB6" s="57">
        <v>116</v>
      </c>
      <c r="AC6" s="57">
        <v>116</v>
      </c>
      <c r="AD6" s="57">
        <v>3.66</v>
      </c>
      <c r="AE6" s="57">
        <v>3.66</v>
      </c>
      <c r="AF6" s="54">
        <f>IFERROR(INDEX(Instancias!$C$2:$C$4,MATCH(D6,Instancias!$A$2:$A$4,0)),"")</f>
        <v>4</v>
      </c>
      <c r="AG6" s="54">
        <f>IFERROR(INDEX(Instancias!$F$2:$F$4,MATCH(D6,Instancias!$A$2:$A$4,0)),"")</f>
        <v>48</v>
      </c>
      <c r="AH6" s="56">
        <f t="shared" si="1"/>
        <v>0</v>
      </c>
      <c r="AI6" s="56">
        <f t="shared" si="2"/>
        <v>0</v>
      </c>
      <c r="AJ6" s="56">
        <f t="shared" si="3"/>
        <v>3.3000000000000002E-2</v>
      </c>
      <c r="AK6" s="56">
        <f t="shared" si="4"/>
        <v>3.3000000000000002E-2</v>
      </c>
      <c r="AL6" s="56">
        <f t="shared" si="5"/>
        <v>2.4166666666666666E-2</v>
      </c>
      <c r="AM6" s="58">
        <v>0.35</v>
      </c>
      <c r="AN6" s="59" t="str">
        <f>IFERROR(IF(IF(C6="Batch",IFERROR(INDEX(Instancias!$J$2:$J$4,MATCH(D6,Instancias!$A$2:$A$4,0)),""),IFERROR(INDEX(Instancias!$K$2:$K$4,MATCH(D6,Instancias!$A$2:$A$4,0)),""))=0,"",IF(C6="Batch",IFERROR(INDEX(Instancias!$J$2:$J$4,MATCH(D6,Instancias!$A$2:$A$4,0)),""),IFERROR(INDEX(Instancias!$K$2:$K$4,MATCH(D6,Instancias!$A$2:$A$4,0)),""))),"")</f>
        <v/>
      </c>
      <c r="AO6" s="59">
        <f t="shared" si="6"/>
        <v>0.35</v>
      </c>
      <c r="AP6" s="59">
        <f t="shared" si="7"/>
        <v>70</v>
      </c>
      <c r="AQ6" s="53" t="s">
        <v>145</v>
      </c>
      <c r="AR6" s="53" t="s">
        <v>151</v>
      </c>
    </row>
    <row r="7" spans="1:44" ht="20.100000000000001" customHeight="1" x14ac:dyDescent="0.25">
      <c r="A7" s="53" t="s">
        <v>147</v>
      </c>
      <c r="B7" s="53" t="s">
        <v>152</v>
      </c>
      <c r="C7" s="53" t="s">
        <v>142</v>
      </c>
      <c r="D7" s="53" t="s">
        <v>89</v>
      </c>
      <c r="E7" s="53" t="s">
        <v>143</v>
      </c>
      <c r="F7" s="53" t="s">
        <v>148</v>
      </c>
      <c r="G7" s="54" t="str">
        <f>IFERROR(INDEX(Instancias!$B$2:$B$4,MATCH(D7,Instancias!$A$2:$A$4,0)),"")</f>
        <v>NVIDIA A10G</v>
      </c>
      <c r="H7" s="53">
        <v>1</v>
      </c>
      <c r="I7" s="53">
        <v>4</v>
      </c>
      <c r="J7" s="53">
        <v>8</v>
      </c>
      <c r="K7" s="55">
        <v>5000</v>
      </c>
      <c r="L7" s="53">
        <v>40</v>
      </c>
      <c r="M7" s="53">
        <v>40</v>
      </c>
      <c r="N7" s="56">
        <f t="shared" si="0"/>
        <v>1</v>
      </c>
      <c r="O7" s="55">
        <v>191486</v>
      </c>
      <c r="P7" s="57">
        <v>7.78</v>
      </c>
      <c r="Q7" s="57">
        <v>17</v>
      </c>
      <c r="R7" s="57">
        <v>25.07</v>
      </c>
      <c r="S7" s="55">
        <v>185</v>
      </c>
      <c r="T7" s="55">
        <v>127</v>
      </c>
      <c r="U7" s="55"/>
      <c r="V7" s="57"/>
      <c r="W7" s="53">
        <v>0</v>
      </c>
      <c r="X7" s="57">
        <v>246</v>
      </c>
      <c r="Y7" s="57">
        <v>304</v>
      </c>
      <c r="Z7" s="57">
        <v>35.799999999999997</v>
      </c>
      <c r="AA7" s="57">
        <v>41.7</v>
      </c>
      <c r="AB7" s="57">
        <v>400</v>
      </c>
      <c r="AC7" s="57">
        <v>478</v>
      </c>
      <c r="AD7" s="57">
        <v>6.51</v>
      </c>
      <c r="AE7" s="57">
        <v>7.4</v>
      </c>
      <c r="AF7" s="54">
        <f>IFERROR(INDEX(Instancias!$C$2:$C$4,MATCH(D7,Instancias!$A$2:$A$4,0)),"")</f>
        <v>4</v>
      </c>
      <c r="AG7" s="54">
        <f>IFERROR(INDEX(Instancias!$F$2:$F$4,MATCH(D7,Instancias!$A$2:$A$4,0)),"")</f>
        <v>48</v>
      </c>
      <c r="AH7" s="56">
        <f t="shared" si="1"/>
        <v>0.61499999999999999</v>
      </c>
      <c r="AI7" s="56">
        <f t="shared" si="2"/>
        <v>0.76</v>
      </c>
      <c r="AJ7" s="56">
        <f t="shared" si="3"/>
        <v>8.9499999999999996E-2</v>
      </c>
      <c r="AK7" s="56">
        <f t="shared" si="4"/>
        <v>0.10425000000000001</v>
      </c>
      <c r="AL7" s="56">
        <f t="shared" si="5"/>
        <v>8.3333333333333343E-2</v>
      </c>
      <c r="AM7" s="58">
        <v>1.99</v>
      </c>
      <c r="AN7" s="59" t="str">
        <f>IFERROR(IF(IF(C7="Batch",IFERROR(INDEX(Instancias!$J$2:$J$4,MATCH(D7,Instancias!$A$2:$A$4,0)),""),IFERROR(INDEX(Instancias!$K$2:$K$4,MATCH(D7,Instancias!$A$2:$A$4,0)),""))=0,"",IF(C7="Batch",IFERROR(INDEX(Instancias!$J$2:$J$4,MATCH(D7,Instancias!$A$2:$A$4,0)),""),IFERROR(INDEX(Instancias!$K$2:$K$4,MATCH(D7,Instancias!$A$2:$A$4,0)),""))),"")</f>
        <v/>
      </c>
      <c r="AO7" s="59">
        <f t="shared" si="6"/>
        <v>1.99</v>
      </c>
      <c r="AP7" s="59">
        <f t="shared" si="7"/>
        <v>10.392404666659704</v>
      </c>
      <c r="AQ7" s="53" t="s">
        <v>145</v>
      </c>
      <c r="AR7" s="53" t="s">
        <v>153</v>
      </c>
    </row>
    <row r="8" spans="1:44" ht="20.100000000000001" customHeight="1" x14ac:dyDescent="0.25">
      <c r="A8" s="53" t="s">
        <v>149</v>
      </c>
      <c r="B8" s="53" t="s">
        <v>152</v>
      </c>
      <c r="C8" s="53" t="s">
        <v>142</v>
      </c>
      <c r="D8" s="53" t="s">
        <v>89</v>
      </c>
      <c r="E8" s="53" t="s">
        <v>143</v>
      </c>
      <c r="F8" s="53" t="s">
        <v>3</v>
      </c>
      <c r="G8" s="54" t="str">
        <f>IFERROR(INDEX(Instancias!$B$2:$B$4,MATCH(D8,Instancias!$A$2:$A$4,0)),"")</f>
        <v>NVIDIA A10G</v>
      </c>
      <c r="H8" s="53">
        <v>1</v>
      </c>
      <c r="I8" s="53">
        <v>4</v>
      </c>
      <c r="J8" s="53">
        <v>8</v>
      </c>
      <c r="K8" s="55">
        <v>5000</v>
      </c>
      <c r="L8" s="53">
        <v>200</v>
      </c>
      <c r="M8" s="53">
        <v>200</v>
      </c>
      <c r="N8" s="56">
        <f t="shared" si="0"/>
        <v>1</v>
      </c>
      <c r="O8" s="55">
        <v>953173</v>
      </c>
      <c r="P8" s="57">
        <v>8.82</v>
      </c>
      <c r="Q8" s="57">
        <v>75</v>
      </c>
      <c r="R8" s="57">
        <v>83</v>
      </c>
      <c r="S8" s="55">
        <v>211</v>
      </c>
      <c r="T8" s="55">
        <v>189</v>
      </c>
      <c r="U8" s="55"/>
      <c r="V8" s="57"/>
      <c r="W8" s="53">
        <v>0</v>
      </c>
      <c r="X8" s="57">
        <v>277</v>
      </c>
      <c r="Y8" s="57">
        <v>340</v>
      </c>
      <c r="Z8" s="57">
        <v>38.5</v>
      </c>
      <c r="AA8" s="57">
        <v>47.7</v>
      </c>
      <c r="AB8" s="57">
        <v>446</v>
      </c>
      <c r="AC8" s="57">
        <v>492</v>
      </c>
      <c r="AD8" s="57">
        <v>7.03</v>
      </c>
      <c r="AE8" s="57">
        <v>7.66</v>
      </c>
      <c r="AF8" s="54">
        <f>IFERROR(INDEX(Instancias!$C$2:$C$4,MATCH(D8,Instancias!$A$2:$A$4,0)),"")</f>
        <v>4</v>
      </c>
      <c r="AG8" s="54">
        <f>IFERROR(INDEX(Instancias!$F$2:$F$4,MATCH(D8,Instancias!$A$2:$A$4,0)),"")</f>
        <v>48</v>
      </c>
      <c r="AH8" s="56">
        <f t="shared" si="1"/>
        <v>0.6925</v>
      </c>
      <c r="AI8" s="56">
        <f t="shared" si="2"/>
        <v>0.85</v>
      </c>
      <c r="AJ8" s="56">
        <f t="shared" si="3"/>
        <v>9.6250000000000002E-2</v>
      </c>
      <c r="AK8" s="56">
        <f t="shared" si="4"/>
        <v>0.11925000000000001</v>
      </c>
      <c r="AL8" s="56">
        <f t="shared" si="5"/>
        <v>9.2916666666666661E-2</v>
      </c>
      <c r="AM8" s="58">
        <v>8.86</v>
      </c>
      <c r="AN8" s="59" t="str">
        <f>IFERROR(IF(IF(C8="Batch",IFERROR(INDEX(Instancias!$J$2:$J$4,MATCH(D8,Instancias!$A$2:$A$4,0)),""),IFERROR(INDEX(Instancias!$K$2:$K$4,MATCH(D8,Instancias!$A$2:$A$4,0)),""))=0,"",IF(C8="Batch",IFERROR(INDEX(Instancias!$J$2:$J$4,MATCH(D8,Instancias!$A$2:$A$4,0)),""),IFERROR(INDEX(Instancias!$K$2:$K$4,MATCH(D8,Instancias!$A$2:$A$4,0)),""))),"")</f>
        <v/>
      </c>
      <c r="AO8" s="59">
        <f t="shared" si="6"/>
        <v>8.86</v>
      </c>
      <c r="AP8" s="59">
        <f t="shared" si="7"/>
        <v>9.2952695890462689</v>
      </c>
      <c r="AQ8" s="53" t="s">
        <v>145</v>
      </c>
      <c r="AR8" s="53" t="s">
        <v>154</v>
      </c>
    </row>
    <row r="9" spans="1:44" ht="20.100000000000001" customHeight="1" x14ac:dyDescent="0.25">
      <c r="A9" s="53" t="s">
        <v>155</v>
      </c>
      <c r="B9" s="53" t="s">
        <v>156</v>
      </c>
      <c r="C9" s="53" t="s">
        <v>157</v>
      </c>
      <c r="D9" s="53" t="s">
        <v>84</v>
      </c>
      <c r="E9" s="53" t="s">
        <v>143</v>
      </c>
      <c r="F9" s="53" t="s">
        <v>144</v>
      </c>
      <c r="G9" s="54" t="str">
        <f>IFERROR(INDEX(Instancias!$B$2:$B$4,MATCH(D9,Instancias!$A$2:$A$4,0)),"")</f>
        <v>NVIDIA L4</v>
      </c>
      <c r="H9" s="53">
        <v>1</v>
      </c>
      <c r="I9" s="53">
        <v>4</v>
      </c>
      <c r="J9" s="53">
        <v>8</v>
      </c>
      <c r="K9" s="55">
        <v>5000</v>
      </c>
      <c r="L9" s="53">
        <v>1</v>
      </c>
      <c r="M9" s="53">
        <v>1</v>
      </c>
      <c r="N9" s="56">
        <f t="shared" si="0"/>
        <v>1</v>
      </c>
      <c r="O9" s="55">
        <v>5000</v>
      </c>
      <c r="P9" s="57"/>
      <c r="Q9" s="57"/>
      <c r="R9" s="57">
        <v>11.3</v>
      </c>
      <c r="S9" s="55">
        <v>7</v>
      </c>
      <c r="T9" s="55">
        <v>7</v>
      </c>
      <c r="U9" s="55">
        <v>677.5</v>
      </c>
      <c r="V9" s="57"/>
      <c r="W9" s="53">
        <v>0</v>
      </c>
      <c r="X9" s="57"/>
      <c r="Y9" s="57"/>
      <c r="Z9" s="57"/>
      <c r="AA9" s="57"/>
      <c r="AB9" s="57"/>
      <c r="AC9" s="57"/>
      <c r="AD9" s="57"/>
      <c r="AE9" s="57"/>
      <c r="AF9" s="54">
        <f>IFERROR(INDEX(Instancias!$C$2:$C$4,MATCH(D9,Instancias!$A$2:$A$4,0)),"")</f>
        <v>4</v>
      </c>
      <c r="AG9" s="54">
        <f>IFERROR(INDEX(Instancias!$F$2:$F$4,MATCH(D9,Instancias!$A$2:$A$4,0)),"")</f>
        <v>48</v>
      </c>
      <c r="AH9" s="56" t="str">
        <f t="shared" si="1"/>
        <v/>
      </c>
      <c r="AI9" s="56" t="str">
        <f t="shared" si="2"/>
        <v/>
      </c>
      <c r="AJ9" s="56" t="str">
        <f t="shared" si="3"/>
        <v/>
      </c>
      <c r="AK9" s="56" t="str">
        <f t="shared" si="4"/>
        <v/>
      </c>
      <c r="AL9" s="56" t="str">
        <f t="shared" si="5"/>
        <v/>
      </c>
      <c r="AM9" s="58"/>
      <c r="AN9" s="59" t="str">
        <f>IFERROR(IF(IF(C9="Batch",IFERROR(INDEX(Instancias!$J$2:$J$4,MATCH(D9,Instancias!$A$2:$A$4,0)),""),IFERROR(INDEX(Instancias!$K$2:$K$4,MATCH(D9,Instancias!$A$2:$A$4,0)),""))=0,"",IF(C9="Batch",IFERROR(INDEX(Instancias!$J$2:$J$4,MATCH(D9,Instancias!$A$2:$A$4,0)),""),IFERROR(INDEX(Instancias!$K$2:$K$4,MATCH(D9,Instancias!$A$2:$A$4,0)),""))),"")</f>
        <v/>
      </c>
      <c r="AO9" s="59" t="str">
        <f t="shared" si="6"/>
        <v/>
      </c>
      <c r="AP9" s="59" t="str">
        <f t="shared" si="7"/>
        <v/>
      </c>
      <c r="AQ9" s="53" t="s">
        <v>145</v>
      </c>
      <c r="AR9" s="53" t="s">
        <v>158</v>
      </c>
    </row>
    <row r="10" spans="1:44" ht="20.100000000000001" customHeight="1" x14ac:dyDescent="0.25">
      <c r="A10" s="53" t="s">
        <v>159</v>
      </c>
      <c r="B10" s="53" t="s">
        <v>156</v>
      </c>
      <c r="C10" s="53" t="s">
        <v>157</v>
      </c>
      <c r="D10" s="53" t="s">
        <v>84</v>
      </c>
      <c r="E10" s="53" t="s">
        <v>143</v>
      </c>
      <c r="F10" s="53" t="s">
        <v>148</v>
      </c>
      <c r="G10" s="54" t="str">
        <f>IFERROR(INDEX(Instancias!$B$2:$B$4,MATCH(D10,Instancias!$A$2:$A$4,0)),"")</f>
        <v>NVIDIA L4</v>
      </c>
      <c r="H10" s="53">
        <v>1</v>
      </c>
      <c r="I10" s="53">
        <v>4</v>
      </c>
      <c r="J10" s="53">
        <v>8</v>
      </c>
      <c r="K10" s="55">
        <v>5000</v>
      </c>
      <c r="L10" s="53">
        <v>40</v>
      </c>
      <c r="M10" s="53">
        <v>40</v>
      </c>
      <c r="N10" s="56">
        <f t="shared" si="0"/>
        <v>1</v>
      </c>
      <c r="O10" s="55">
        <v>191486</v>
      </c>
      <c r="P10" s="57"/>
      <c r="Q10" s="57"/>
      <c r="R10" s="57">
        <v>18.5</v>
      </c>
      <c r="S10" s="55">
        <v>172</v>
      </c>
      <c r="T10" s="55">
        <v>172</v>
      </c>
      <c r="U10" s="55">
        <v>586.6</v>
      </c>
      <c r="V10" s="57">
        <v>86.5</v>
      </c>
      <c r="W10" s="53">
        <v>0</v>
      </c>
      <c r="X10" s="57">
        <v>273</v>
      </c>
      <c r="Y10" s="57">
        <v>400</v>
      </c>
      <c r="Z10" s="57"/>
      <c r="AA10" s="57">
        <v>155.6</v>
      </c>
      <c r="AB10" s="57">
        <v>446</v>
      </c>
      <c r="AC10" s="57">
        <v>590</v>
      </c>
      <c r="AD10" s="57">
        <v>9.5</v>
      </c>
      <c r="AE10" s="57">
        <v>9.9</v>
      </c>
      <c r="AF10" s="54">
        <f>IFERROR(INDEX(Instancias!$C$2:$C$4,MATCH(D10,Instancias!$A$2:$A$4,0)),"")</f>
        <v>4</v>
      </c>
      <c r="AG10" s="54">
        <f>IFERROR(INDEX(Instancias!$F$2:$F$4,MATCH(D10,Instancias!$A$2:$A$4,0)),"")</f>
        <v>48</v>
      </c>
      <c r="AH10" s="56">
        <f t="shared" si="1"/>
        <v>0.6825</v>
      </c>
      <c r="AI10" s="56">
        <f t="shared" si="2"/>
        <v>1</v>
      </c>
      <c r="AJ10" s="56" t="str">
        <f t="shared" si="3"/>
        <v/>
      </c>
      <c r="AK10" s="56">
        <f t="shared" si="4"/>
        <v>0.38900000000000001</v>
      </c>
      <c r="AL10" s="56">
        <f t="shared" si="5"/>
        <v>9.2916666666666661E-2</v>
      </c>
      <c r="AM10" s="58"/>
      <c r="AN10" s="59" t="str">
        <f>IFERROR(IF(IF(C10="Batch",IFERROR(INDEX(Instancias!$J$2:$J$4,MATCH(D10,Instancias!$A$2:$A$4,0)),""),IFERROR(INDEX(Instancias!$K$2:$K$4,MATCH(D10,Instancias!$A$2:$A$4,0)),""))=0,"",IF(C10="Batch",IFERROR(INDEX(Instancias!$J$2:$J$4,MATCH(D10,Instancias!$A$2:$A$4,0)),""),IFERROR(INDEX(Instancias!$K$2:$K$4,MATCH(D10,Instancias!$A$2:$A$4,0)),""))),"")</f>
        <v/>
      </c>
      <c r="AO10" s="59" t="str">
        <f t="shared" si="6"/>
        <v/>
      </c>
      <c r="AP10" s="59" t="str">
        <f t="shared" si="7"/>
        <v/>
      </c>
      <c r="AQ10" s="53" t="s">
        <v>145</v>
      </c>
      <c r="AR10" s="53" t="s">
        <v>160</v>
      </c>
    </row>
    <row r="11" spans="1:44" ht="20.100000000000001" customHeight="1" x14ac:dyDescent="0.25">
      <c r="A11" s="53" t="s">
        <v>161</v>
      </c>
      <c r="B11" s="53" t="s">
        <v>156</v>
      </c>
      <c r="C11" s="53" t="s">
        <v>157</v>
      </c>
      <c r="D11" s="53" t="s">
        <v>84</v>
      </c>
      <c r="E11" s="53" t="s">
        <v>143</v>
      </c>
      <c r="F11" s="53" t="s">
        <v>3</v>
      </c>
      <c r="G11" s="54" t="str">
        <f>IFERROR(INDEX(Instancias!$B$2:$B$4,MATCH(D11,Instancias!$A$2:$A$4,0)),"")</f>
        <v>NVIDIA L4</v>
      </c>
      <c r="H11" s="53">
        <v>1</v>
      </c>
      <c r="I11" s="53">
        <v>4</v>
      </c>
      <c r="J11" s="53">
        <v>8</v>
      </c>
      <c r="K11" s="55">
        <v>5000</v>
      </c>
      <c r="L11" s="53">
        <v>200</v>
      </c>
      <c r="M11" s="53">
        <v>200</v>
      </c>
      <c r="N11" s="56">
        <f t="shared" si="0"/>
        <v>1</v>
      </c>
      <c r="O11" s="55">
        <v>953173</v>
      </c>
      <c r="P11" s="57"/>
      <c r="Q11" s="57"/>
      <c r="R11" s="57">
        <v>91</v>
      </c>
      <c r="S11" s="55">
        <v>173</v>
      </c>
      <c r="T11" s="55">
        <v>173</v>
      </c>
      <c r="U11" s="55">
        <v>2788</v>
      </c>
      <c r="V11" s="57">
        <v>86.9</v>
      </c>
      <c r="W11" s="53">
        <v>0</v>
      </c>
      <c r="X11" s="57">
        <v>270</v>
      </c>
      <c r="Y11" s="57">
        <v>400</v>
      </c>
      <c r="Z11" s="57">
        <v>100.8</v>
      </c>
      <c r="AA11" s="57">
        <v>156.80000000000001</v>
      </c>
      <c r="AB11" s="57">
        <v>451</v>
      </c>
      <c r="AC11" s="57">
        <v>677</v>
      </c>
      <c r="AD11" s="57">
        <v>10.1</v>
      </c>
      <c r="AE11" s="57">
        <v>10.5</v>
      </c>
      <c r="AF11" s="54">
        <f>IFERROR(INDEX(Instancias!$C$2:$C$4,MATCH(D11,Instancias!$A$2:$A$4,0)),"")</f>
        <v>4</v>
      </c>
      <c r="AG11" s="54">
        <f>IFERROR(INDEX(Instancias!$F$2:$F$4,MATCH(D11,Instancias!$A$2:$A$4,0)),"")</f>
        <v>48</v>
      </c>
      <c r="AH11" s="56">
        <f t="shared" si="1"/>
        <v>0.67500000000000004</v>
      </c>
      <c r="AI11" s="56">
        <f t="shared" si="2"/>
        <v>1</v>
      </c>
      <c r="AJ11" s="56">
        <f t="shared" si="3"/>
        <v>0.252</v>
      </c>
      <c r="AK11" s="56">
        <f t="shared" si="4"/>
        <v>0.39200000000000002</v>
      </c>
      <c r="AL11" s="56">
        <f t="shared" si="5"/>
        <v>9.3958333333333338E-2</v>
      </c>
      <c r="AM11" s="58"/>
      <c r="AN11" s="59" t="str">
        <f>IFERROR(IF(IF(C11="Batch",IFERROR(INDEX(Instancias!$J$2:$J$4,MATCH(D11,Instancias!$A$2:$A$4,0)),""),IFERROR(INDEX(Instancias!$K$2:$K$4,MATCH(D11,Instancias!$A$2:$A$4,0)),""))=0,"",IF(C11="Batch",IFERROR(INDEX(Instancias!$J$2:$J$4,MATCH(D11,Instancias!$A$2:$A$4,0)),""),IFERROR(INDEX(Instancias!$K$2:$K$4,MATCH(D11,Instancias!$A$2:$A$4,0)),""))),"")</f>
        <v/>
      </c>
      <c r="AO11" s="59" t="str">
        <f t="shared" si="6"/>
        <v/>
      </c>
      <c r="AP11" s="59" t="str">
        <f t="shared" si="7"/>
        <v/>
      </c>
      <c r="AQ11" s="53" t="s">
        <v>145</v>
      </c>
      <c r="AR11" s="53"/>
    </row>
    <row r="12" spans="1:44" ht="20.100000000000001" customHeight="1" x14ac:dyDescent="0.25">
      <c r="A12" s="53" t="s">
        <v>162</v>
      </c>
      <c r="B12" s="53" t="s">
        <v>156</v>
      </c>
      <c r="C12" s="53" t="s">
        <v>157</v>
      </c>
      <c r="D12" s="53" t="s">
        <v>84</v>
      </c>
      <c r="E12" s="53" t="s">
        <v>143</v>
      </c>
      <c r="F12" s="53" t="s">
        <v>163</v>
      </c>
      <c r="G12" s="54" t="str">
        <f>IFERROR(INDEX(Instancias!$B$2:$B$4,MATCH(D12,Instancias!$A$2:$A$4,0)),"")</f>
        <v>NVIDIA L4</v>
      </c>
      <c r="H12" s="53">
        <v>1</v>
      </c>
      <c r="I12" s="53">
        <v>4</v>
      </c>
      <c r="J12" s="53">
        <v>8</v>
      </c>
      <c r="K12" s="55">
        <v>5000</v>
      </c>
      <c r="L12" s="53">
        <v>638</v>
      </c>
      <c r="M12" s="53">
        <v>640</v>
      </c>
      <c r="N12" s="56">
        <f t="shared" si="0"/>
        <v>0.99687499999999996</v>
      </c>
      <c r="O12" s="55">
        <v>3038167</v>
      </c>
      <c r="P12" s="57"/>
      <c r="Q12" s="57"/>
      <c r="R12" s="57">
        <v>297</v>
      </c>
      <c r="S12" s="55">
        <v>170</v>
      </c>
      <c r="T12" s="55">
        <v>170</v>
      </c>
      <c r="U12" s="55">
        <v>9062</v>
      </c>
      <c r="V12" s="57">
        <v>87.5</v>
      </c>
      <c r="W12" s="53">
        <v>2</v>
      </c>
      <c r="X12" s="57">
        <v>288</v>
      </c>
      <c r="Y12" s="57">
        <v>400</v>
      </c>
      <c r="Z12" s="57"/>
      <c r="AA12" s="57">
        <v>161.6</v>
      </c>
      <c r="AB12" s="57">
        <v>461</v>
      </c>
      <c r="AC12" s="57">
        <v>672</v>
      </c>
      <c r="AD12" s="57">
        <v>10.1</v>
      </c>
      <c r="AE12" s="57">
        <v>10.7</v>
      </c>
      <c r="AF12" s="54">
        <f>IFERROR(INDEX(Instancias!$C$2:$C$4,MATCH(D12,Instancias!$A$2:$A$4,0)),"")</f>
        <v>4</v>
      </c>
      <c r="AG12" s="54">
        <f>IFERROR(INDEX(Instancias!$F$2:$F$4,MATCH(D12,Instancias!$A$2:$A$4,0)),"")</f>
        <v>48</v>
      </c>
      <c r="AH12" s="56">
        <f t="shared" si="1"/>
        <v>0.72</v>
      </c>
      <c r="AI12" s="56">
        <f t="shared" si="2"/>
        <v>1</v>
      </c>
      <c r="AJ12" s="56" t="str">
        <f t="shared" si="3"/>
        <v/>
      </c>
      <c r="AK12" s="56">
        <f t="shared" si="4"/>
        <v>0.40399999999999997</v>
      </c>
      <c r="AL12" s="56">
        <f t="shared" si="5"/>
        <v>9.6041666666666664E-2</v>
      </c>
      <c r="AM12" s="58"/>
      <c r="AN12" s="59" t="str">
        <f>IFERROR(IF(IF(C12="Batch",IFERROR(INDEX(Instancias!$J$2:$J$4,MATCH(D12,Instancias!$A$2:$A$4,0)),""),IFERROR(INDEX(Instancias!$K$2:$K$4,MATCH(D12,Instancias!$A$2:$A$4,0)),""))=0,"",IF(C12="Batch",IFERROR(INDEX(Instancias!$J$2:$J$4,MATCH(D12,Instancias!$A$2:$A$4,0)),""),IFERROR(INDEX(Instancias!$K$2:$K$4,MATCH(D12,Instancias!$A$2:$A$4,0)),""))),"")</f>
        <v/>
      </c>
      <c r="AO12" s="59" t="str">
        <f t="shared" si="6"/>
        <v/>
      </c>
      <c r="AP12" s="59" t="str">
        <f t="shared" si="7"/>
        <v/>
      </c>
      <c r="AQ12" s="53" t="s">
        <v>164</v>
      </c>
      <c r="AR12" s="53" t="s">
        <v>165</v>
      </c>
    </row>
    <row r="13" spans="1:44" ht="20.100000000000001" customHeight="1" x14ac:dyDescent="0.25">
      <c r="A13" s="53" t="s">
        <v>155</v>
      </c>
      <c r="B13" s="53" t="s">
        <v>152</v>
      </c>
      <c r="C13" s="53" t="s">
        <v>157</v>
      </c>
      <c r="D13" s="53" t="s">
        <v>84</v>
      </c>
      <c r="E13" s="53" t="s">
        <v>166</v>
      </c>
      <c r="F13" s="53" t="s">
        <v>144</v>
      </c>
      <c r="G13" s="54" t="str">
        <f>IFERROR(INDEX(Instancias!$B$2:$B$4,MATCH(D13,Instancias!$A$2:$A$4,0)),"")</f>
        <v>NVIDIA L4</v>
      </c>
      <c r="H13" s="53">
        <v>0.5</v>
      </c>
      <c r="I13" s="53">
        <v>8</v>
      </c>
      <c r="J13" s="53">
        <v>8</v>
      </c>
      <c r="K13" s="55">
        <v>5000</v>
      </c>
      <c r="L13" s="53">
        <v>1</v>
      </c>
      <c r="M13" s="53">
        <v>1</v>
      </c>
      <c r="N13" s="56">
        <f t="shared" si="0"/>
        <v>1</v>
      </c>
      <c r="O13" s="55">
        <v>5000</v>
      </c>
      <c r="P13" s="57"/>
      <c r="Q13" s="57"/>
      <c r="R13" s="57">
        <v>10.6</v>
      </c>
      <c r="S13" s="55">
        <v>8</v>
      </c>
      <c r="T13" s="55">
        <v>8</v>
      </c>
      <c r="U13" s="55">
        <v>636</v>
      </c>
      <c r="V13" s="57"/>
      <c r="W13" s="53">
        <v>0</v>
      </c>
      <c r="X13" s="57"/>
      <c r="Y13" s="57"/>
      <c r="Z13" s="57"/>
      <c r="AA13" s="57"/>
      <c r="AB13" s="57"/>
      <c r="AC13" s="57"/>
      <c r="AD13" s="57"/>
      <c r="AE13" s="57"/>
      <c r="AF13" s="54">
        <f>IFERROR(INDEX(Instancias!$C$2:$C$4,MATCH(D13,Instancias!$A$2:$A$4,0)),"")</f>
        <v>4</v>
      </c>
      <c r="AG13" s="54">
        <f>IFERROR(INDEX(Instancias!$F$2:$F$4,MATCH(D13,Instancias!$A$2:$A$4,0)),"")</f>
        <v>48</v>
      </c>
      <c r="AH13" s="56" t="str">
        <f t="shared" si="1"/>
        <v/>
      </c>
      <c r="AI13" s="56" t="str">
        <f t="shared" si="2"/>
        <v/>
      </c>
      <c r="AJ13" s="56" t="str">
        <f t="shared" si="3"/>
        <v/>
      </c>
      <c r="AK13" s="56" t="str">
        <f t="shared" si="4"/>
        <v/>
      </c>
      <c r="AL13" s="56" t="str">
        <f t="shared" si="5"/>
        <v/>
      </c>
      <c r="AM13" s="58"/>
      <c r="AN13" s="59" t="str">
        <f>IFERROR(IF(IF(C13="Batch",IFERROR(INDEX(Instancias!$J$2:$J$4,MATCH(D13,Instancias!$A$2:$A$4,0)),""),IFERROR(INDEX(Instancias!$K$2:$K$4,MATCH(D13,Instancias!$A$2:$A$4,0)),""))=0,"",IF(C13="Batch",IFERROR(INDEX(Instancias!$J$2:$J$4,MATCH(D13,Instancias!$A$2:$A$4,0)),""),IFERROR(INDEX(Instancias!$K$2:$K$4,MATCH(D13,Instancias!$A$2:$A$4,0)),""))),"")</f>
        <v/>
      </c>
      <c r="AO13" s="59" t="str">
        <f t="shared" si="6"/>
        <v/>
      </c>
      <c r="AP13" s="59" t="str">
        <f t="shared" si="7"/>
        <v/>
      </c>
      <c r="AQ13" s="53" t="s">
        <v>145</v>
      </c>
      <c r="AR13" s="53" t="s">
        <v>167</v>
      </c>
    </row>
    <row r="14" spans="1:44" ht="20.100000000000001" customHeight="1" x14ac:dyDescent="0.25">
      <c r="A14" s="53" t="s">
        <v>159</v>
      </c>
      <c r="B14" s="53" t="s">
        <v>152</v>
      </c>
      <c r="C14" s="53" t="s">
        <v>157</v>
      </c>
      <c r="D14" s="53" t="s">
        <v>84</v>
      </c>
      <c r="E14" s="53" t="s">
        <v>166</v>
      </c>
      <c r="F14" s="53" t="s">
        <v>148</v>
      </c>
      <c r="G14" s="54" t="str">
        <f>IFERROR(INDEX(Instancias!$B$2:$B$4,MATCH(D14,Instancias!$A$2:$A$4,0)),"")</f>
        <v>NVIDIA L4</v>
      </c>
      <c r="H14" s="53">
        <v>0.5</v>
      </c>
      <c r="I14" s="53">
        <v>8</v>
      </c>
      <c r="J14" s="53">
        <v>8</v>
      </c>
      <c r="K14" s="55">
        <v>5000</v>
      </c>
      <c r="L14" s="53">
        <v>18</v>
      </c>
      <c r="M14" s="53">
        <v>40</v>
      </c>
      <c r="N14" s="56">
        <f t="shared" si="0"/>
        <v>0.45</v>
      </c>
      <c r="O14" s="55">
        <v>87162</v>
      </c>
      <c r="P14" s="57"/>
      <c r="Q14" s="57"/>
      <c r="R14" s="57">
        <v>13</v>
      </c>
      <c r="S14" s="55">
        <v>111</v>
      </c>
      <c r="T14" s="55">
        <v>111</v>
      </c>
      <c r="U14" s="55">
        <v>377</v>
      </c>
      <c r="V14" s="57">
        <v>249</v>
      </c>
      <c r="W14" s="53">
        <v>22</v>
      </c>
      <c r="X14" s="57">
        <v>357</v>
      </c>
      <c r="Y14" s="57">
        <v>400</v>
      </c>
      <c r="Z14" s="57">
        <v>210</v>
      </c>
      <c r="AA14" s="57">
        <v>310.60000000000002</v>
      </c>
      <c r="AB14" s="57">
        <v>772</v>
      </c>
      <c r="AC14" s="57">
        <v>1099</v>
      </c>
      <c r="AD14" s="57">
        <v>16.600000000000001</v>
      </c>
      <c r="AE14" s="57">
        <v>17.7</v>
      </c>
      <c r="AF14" s="54">
        <f>IFERROR(INDEX(Instancias!$C$2:$C$4,MATCH(D14,Instancias!$A$2:$A$4,0)),"")</f>
        <v>4</v>
      </c>
      <c r="AG14" s="54">
        <f>IFERROR(INDEX(Instancias!$F$2:$F$4,MATCH(D14,Instancias!$A$2:$A$4,0)),"")</f>
        <v>48</v>
      </c>
      <c r="AH14" s="56">
        <f t="shared" si="1"/>
        <v>0.89249999999999996</v>
      </c>
      <c r="AI14" s="56">
        <f t="shared" si="2"/>
        <v>1</v>
      </c>
      <c r="AJ14" s="56">
        <f t="shared" si="3"/>
        <v>0.52500000000000002</v>
      </c>
      <c r="AK14" s="56">
        <f t="shared" si="4"/>
        <v>0.77650000000000008</v>
      </c>
      <c r="AL14" s="56">
        <f t="shared" si="5"/>
        <v>0.16083333333333333</v>
      </c>
      <c r="AM14" s="58"/>
      <c r="AN14" s="59" t="str">
        <f>IFERROR(IF(IF(C14="Batch",IFERROR(INDEX(Instancias!$J$2:$J$4,MATCH(D14,Instancias!$A$2:$A$4,0)),""),IFERROR(INDEX(Instancias!$K$2:$K$4,MATCH(D14,Instancias!$A$2:$A$4,0)),""))=0,"",IF(C14="Batch",IFERROR(INDEX(Instancias!$J$2:$J$4,MATCH(D14,Instancias!$A$2:$A$4,0)),""),IFERROR(INDEX(Instancias!$K$2:$K$4,MATCH(D14,Instancias!$A$2:$A$4,0)),""))),"")</f>
        <v/>
      </c>
      <c r="AO14" s="59" t="str">
        <f t="shared" si="6"/>
        <v/>
      </c>
      <c r="AP14" s="59" t="str">
        <f t="shared" si="7"/>
        <v/>
      </c>
      <c r="AQ14" s="53" t="s">
        <v>164</v>
      </c>
      <c r="AR14" s="53" t="s">
        <v>168</v>
      </c>
    </row>
    <row r="15" spans="1:44" ht="20.100000000000001" customHeight="1" x14ac:dyDescent="0.25">
      <c r="A15" s="53" t="s">
        <v>161</v>
      </c>
      <c r="B15" s="53" t="s">
        <v>152</v>
      </c>
      <c r="C15" s="53" t="s">
        <v>157</v>
      </c>
      <c r="D15" s="53" t="s">
        <v>84</v>
      </c>
      <c r="E15" s="53" t="s">
        <v>166</v>
      </c>
      <c r="F15" s="53" t="s">
        <v>3</v>
      </c>
      <c r="G15" s="54" t="str">
        <f>IFERROR(INDEX(Instancias!$B$2:$B$4,MATCH(D15,Instancias!$A$2:$A$4,0)),"")</f>
        <v>NVIDIA L4</v>
      </c>
      <c r="H15" s="53">
        <v>0.5</v>
      </c>
      <c r="I15" s="53">
        <v>8</v>
      </c>
      <c r="J15" s="53">
        <v>8</v>
      </c>
      <c r="K15" s="55">
        <v>5000</v>
      </c>
      <c r="L15" s="53">
        <v>60</v>
      </c>
      <c r="M15" s="53">
        <v>200</v>
      </c>
      <c r="N15" s="56">
        <f t="shared" si="0"/>
        <v>0.3</v>
      </c>
      <c r="O15" s="55">
        <v>284391</v>
      </c>
      <c r="P15" s="57"/>
      <c r="Q15" s="57"/>
      <c r="R15" s="57">
        <v>59</v>
      </c>
      <c r="S15" s="55">
        <v>80</v>
      </c>
      <c r="T15" s="55">
        <v>80</v>
      </c>
      <c r="U15" s="55">
        <v>1801</v>
      </c>
      <c r="V15" s="57">
        <v>285</v>
      </c>
      <c r="W15" s="53">
        <v>140</v>
      </c>
      <c r="X15" s="57">
        <v>390</v>
      </c>
      <c r="Y15" s="57">
        <v>400</v>
      </c>
      <c r="Z15" s="57">
        <v>258</v>
      </c>
      <c r="AA15" s="57">
        <v>308.89999999999998</v>
      </c>
      <c r="AB15" s="57">
        <v>946</v>
      </c>
      <c r="AC15" s="57">
        <v>1206</v>
      </c>
      <c r="AD15" s="57">
        <v>18.8</v>
      </c>
      <c r="AE15" s="57">
        <v>19.399999999999999</v>
      </c>
      <c r="AF15" s="54">
        <f>IFERROR(INDEX(Instancias!$C$2:$C$4,MATCH(D15,Instancias!$A$2:$A$4,0)),"")</f>
        <v>4</v>
      </c>
      <c r="AG15" s="54">
        <f>IFERROR(INDEX(Instancias!$F$2:$F$4,MATCH(D15,Instancias!$A$2:$A$4,0)),"")</f>
        <v>48</v>
      </c>
      <c r="AH15" s="56">
        <f t="shared" si="1"/>
        <v>0.97499999999999998</v>
      </c>
      <c r="AI15" s="56">
        <f t="shared" si="2"/>
        <v>1</v>
      </c>
      <c r="AJ15" s="56">
        <f t="shared" si="3"/>
        <v>0.64500000000000002</v>
      </c>
      <c r="AK15" s="56">
        <f t="shared" si="4"/>
        <v>0.77224999999999999</v>
      </c>
      <c r="AL15" s="56">
        <f t="shared" si="5"/>
        <v>0.19708333333333333</v>
      </c>
      <c r="AM15" s="58"/>
      <c r="AN15" s="59" t="str">
        <f>IFERROR(IF(IF(C15="Batch",IFERROR(INDEX(Instancias!$J$2:$J$4,MATCH(D15,Instancias!$A$2:$A$4,0)),""),IFERROR(INDEX(Instancias!$K$2:$K$4,MATCH(D15,Instancias!$A$2:$A$4,0)),""))=0,"",IF(C15="Batch",IFERROR(INDEX(Instancias!$J$2:$J$4,MATCH(D15,Instancias!$A$2:$A$4,0)),""),IFERROR(INDEX(Instancias!$K$2:$K$4,MATCH(D15,Instancias!$A$2:$A$4,0)),""))),"")</f>
        <v/>
      </c>
      <c r="AO15" s="59" t="str">
        <f t="shared" si="6"/>
        <v/>
      </c>
      <c r="AP15" s="59" t="str">
        <f t="shared" si="7"/>
        <v/>
      </c>
      <c r="AQ15" s="53" t="s">
        <v>164</v>
      </c>
      <c r="AR15" s="53" t="s">
        <v>169</v>
      </c>
    </row>
    <row r="16" spans="1:44" ht="20.100000000000001" customHeight="1" x14ac:dyDescent="0.25">
      <c r="A16" s="53" t="s">
        <v>170</v>
      </c>
      <c r="B16" s="53" t="s">
        <v>152</v>
      </c>
      <c r="C16" s="53" t="s">
        <v>157</v>
      </c>
      <c r="D16" s="53" t="s">
        <v>84</v>
      </c>
      <c r="E16" s="53" t="s">
        <v>166</v>
      </c>
      <c r="F16" s="53" t="s">
        <v>171</v>
      </c>
      <c r="G16" s="54" t="str">
        <f>IFERROR(INDEX(Instancias!$B$2:$B$4,MATCH(D16,Instancias!$A$2:$A$4,0)),"")</f>
        <v>NVIDIA L4</v>
      </c>
      <c r="H16" s="53">
        <v>0.5</v>
      </c>
      <c r="I16" s="53">
        <v>8</v>
      </c>
      <c r="J16" s="53">
        <v>8</v>
      </c>
      <c r="K16" s="55">
        <v>5000</v>
      </c>
      <c r="L16" s="53">
        <v>20</v>
      </c>
      <c r="M16" s="53">
        <v>24</v>
      </c>
      <c r="N16" s="56">
        <f t="shared" si="0"/>
        <v>0.83333333333333337</v>
      </c>
      <c r="O16" s="55">
        <v>97162</v>
      </c>
      <c r="P16" s="57"/>
      <c r="Q16" s="57"/>
      <c r="R16" s="57">
        <v>9.9</v>
      </c>
      <c r="S16" s="55">
        <v>164</v>
      </c>
      <c r="T16" s="55">
        <v>164</v>
      </c>
      <c r="U16" s="55">
        <v>154.30000000000001</v>
      </c>
      <c r="V16" s="57"/>
      <c r="W16" s="53">
        <v>4</v>
      </c>
      <c r="X16" s="57">
        <v>360</v>
      </c>
      <c r="Y16" s="57"/>
      <c r="Z16" s="57"/>
      <c r="AA16" s="57"/>
      <c r="AB16" s="57">
        <v>696</v>
      </c>
      <c r="AC16" s="57"/>
      <c r="AD16" s="57"/>
      <c r="AE16" s="57"/>
      <c r="AF16" s="54">
        <f>IFERROR(INDEX(Instancias!$C$2:$C$4,MATCH(D16,Instancias!$A$2:$A$4,0)),"")</f>
        <v>4</v>
      </c>
      <c r="AG16" s="54">
        <f>IFERROR(INDEX(Instancias!$F$2:$F$4,MATCH(D16,Instancias!$A$2:$A$4,0)),"")</f>
        <v>48</v>
      </c>
      <c r="AH16" s="56">
        <f t="shared" si="1"/>
        <v>0.9</v>
      </c>
      <c r="AI16" s="56" t="str">
        <f t="shared" si="2"/>
        <v/>
      </c>
      <c r="AJ16" s="56" t="str">
        <f t="shared" si="3"/>
        <v/>
      </c>
      <c r="AK16" s="56" t="str">
        <f t="shared" si="4"/>
        <v/>
      </c>
      <c r="AL16" s="56">
        <f t="shared" si="5"/>
        <v>0.14499999999999999</v>
      </c>
      <c r="AM16" s="58"/>
      <c r="AN16" s="59" t="str">
        <f>IFERROR(IF(IF(C16="Batch",IFERROR(INDEX(Instancias!$J$2:$J$4,MATCH(D16,Instancias!$A$2:$A$4,0)),""),IFERROR(INDEX(Instancias!$K$2:$K$4,MATCH(D16,Instancias!$A$2:$A$4,0)),""))=0,"",IF(C16="Batch",IFERROR(INDEX(Instancias!$J$2:$J$4,MATCH(D16,Instancias!$A$2:$A$4,0)),""),IFERROR(INDEX(Instancias!$K$2:$K$4,MATCH(D16,Instancias!$A$2:$A$4,0)),""))),"")</f>
        <v/>
      </c>
      <c r="AO16" s="59" t="str">
        <f t="shared" si="6"/>
        <v/>
      </c>
      <c r="AP16" s="59" t="str">
        <f t="shared" si="7"/>
        <v/>
      </c>
      <c r="AQ16" s="53" t="s">
        <v>164</v>
      </c>
      <c r="AR16" s="53" t="s">
        <v>172</v>
      </c>
    </row>
    <row r="17" spans="1:44" ht="20.100000000000001" customHeight="1" x14ac:dyDescent="0.25">
      <c r="A17" s="53" t="s">
        <v>155</v>
      </c>
      <c r="B17" s="53" t="s">
        <v>173</v>
      </c>
      <c r="C17" s="53" t="s">
        <v>157</v>
      </c>
      <c r="D17" s="53" t="s">
        <v>92</v>
      </c>
      <c r="E17" s="53" t="s">
        <v>143</v>
      </c>
      <c r="F17" s="53" t="s">
        <v>144</v>
      </c>
      <c r="G17" s="54" t="str">
        <f>IFERROR(INDEX(Instancias!$B$2:$B$4,MATCH(D17,Instancias!$A$2:$A$4,0)),"")</f>
        <v>NVIDIA H200</v>
      </c>
      <c r="H17" s="53"/>
      <c r="I17" s="53"/>
      <c r="J17" s="53"/>
      <c r="K17" s="55">
        <v>28581</v>
      </c>
      <c r="L17" s="53">
        <v>1</v>
      </c>
      <c r="M17" s="53">
        <v>1</v>
      </c>
      <c r="N17" s="56">
        <f t="shared" si="0"/>
        <v>1</v>
      </c>
      <c r="O17" s="55">
        <v>28581</v>
      </c>
      <c r="P17" s="57"/>
      <c r="Q17" s="57"/>
      <c r="R17" s="57">
        <v>1.1000000000000001</v>
      </c>
      <c r="S17" s="55">
        <v>452</v>
      </c>
      <c r="T17" s="55">
        <v>452</v>
      </c>
      <c r="U17" s="55">
        <v>63.2</v>
      </c>
      <c r="V17" s="57"/>
      <c r="W17" s="53">
        <v>0</v>
      </c>
      <c r="X17" s="57"/>
      <c r="Y17" s="57"/>
      <c r="Z17" s="57"/>
      <c r="AA17" s="57"/>
      <c r="AB17" s="57"/>
      <c r="AC17" s="57"/>
      <c r="AD17" s="57"/>
      <c r="AE17" s="57"/>
      <c r="AF17" s="54">
        <f>IFERROR(INDEX(Instancias!$C$2:$C$4,MATCH(D17,Instancias!$A$2:$A$4,0)),"")</f>
        <v>8</v>
      </c>
      <c r="AG17" s="54">
        <f>IFERROR(INDEX(Instancias!$F$2:$F$4,MATCH(D17,Instancias!$A$2:$A$4,0)),"")</f>
        <v>192</v>
      </c>
      <c r="AH17" s="56" t="str">
        <f t="shared" si="1"/>
        <v/>
      </c>
      <c r="AI17" s="56" t="str">
        <f t="shared" si="2"/>
        <v/>
      </c>
      <c r="AJ17" s="56" t="str">
        <f t="shared" si="3"/>
        <v/>
      </c>
      <c r="AK17" s="56" t="str">
        <f t="shared" si="4"/>
        <v/>
      </c>
      <c r="AL17" s="56" t="str">
        <f t="shared" si="5"/>
        <v/>
      </c>
      <c r="AM17" s="58"/>
      <c r="AN17" s="59" t="str">
        <f>IFERROR(IF(IF(C17="Batch",IFERROR(INDEX(Instancias!$J$2:$J$4,MATCH(D17,Instancias!$A$2:$A$4,0)),""),IFERROR(INDEX(Instancias!$K$2:$K$4,MATCH(D17,Instancias!$A$2:$A$4,0)),""))=0,"",IF(C17="Batch",IFERROR(INDEX(Instancias!$J$2:$J$4,MATCH(D17,Instancias!$A$2:$A$4,0)),""),IFERROR(INDEX(Instancias!$K$2:$K$4,MATCH(D17,Instancias!$A$2:$A$4,0)),""))),"")</f>
        <v/>
      </c>
      <c r="AO17" s="59" t="str">
        <f t="shared" si="6"/>
        <v/>
      </c>
      <c r="AP17" s="59" t="str">
        <f t="shared" si="7"/>
        <v/>
      </c>
      <c r="AQ17" s="53" t="s">
        <v>145</v>
      </c>
      <c r="AR17" s="53" t="s">
        <v>174</v>
      </c>
    </row>
    <row r="18" spans="1:44" ht="20.100000000000001" customHeight="1" x14ac:dyDescent="0.25">
      <c r="A18" s="53" t="s">
        <v>159</v>
      </c>
      <c r="B18" s="53" t="s">
        <v>173</v>
      </c>
      <c r="C18" s="53" t="s">
        <v>157</v>
      </c>
      <c r="D18" s="53" t="s">
        <v>92</v>
      </c>
      <c r="E18" s="53" t="s">
        <v>143</v>
      </c>
      <c r="F18" s="53" t="s">
        <v>148</v>
      </c>
      <c r="G18" s="54" t="str">
        <f>IFERROR(INDEX(Instancias!$B$2:$B$4,MATCH(D18,Instancias!$A$2:$A$4,0)),"")</f>
        <v>NVIDIA H200</v>
      </c>
      <c r="H18" s="53"/>
      <c r="I18" s="53"/>
      <c r="J18" s="53"/>
      <c r="K18" s="55">
        <v>28581</v>
      </c>
      <c r="L18" s="53">
        <v>40</v>
      </c>
      <c r="M18" s="53">
        <v>40</v>
      </c>
      <c r="N18" s="56">
        <f t="shared" si="0"/>
        <v>1</v>
      </c>
      <c r="O18" s="55">
        <v>1143240</v>
      </c>
      <c r="P18" s="57"/>
      <c r="Q18" s="57"/>
      <c r="R18" s="57">
        <v>8.5</v>
      </c>
      <c r="S18" s="55">
        <v>2229</v>
      </c>
      <c r="T18" s="55">
        <v>2229</v>
      </c>
      <c r="U18" s="55">
        <v>279.10000000000002</v>
      </c>
      <c r="V18" s="57">
        <v>64.3</v>
      </c>
      <c r="W18" s="53">
        <v>0</v>
      </c>
      <c r="X18" s="57">
        <v>349</v>
      </c>
      <c r="Y18" s="57">
        <v>698</v>
      </c>
      <c r="Z18" s="57"/>
      <c r="AA18" s="57">
        <v>144.80000000000001</v>
      </c>
      <c r="AB18" s="57">
        <v>3264</v>
      </c>
      <c r="AC18" s="57">
        <v>5376</v>
      </c>
      <c r="AD18" s="57">
        <v>4.9000000000000004</v>
      </c>
      <c r="AE18" s="57">
        <v>5.4</v>
      </c>
      <c r="AF18" s="54">
        <f>IFERROR(INDEX(Instancias!$C$2:$C$4,MATCH(D18,Instancias!$A$2:$A$4,0)),"")</f>
        <v>8</v>
      </c>
      <c r="AG18" s="54">
        <f>IFERROR(INDEX(Instancias!$F$2:$F$4,MATCH(D18,Instancias!$A$2:$A$4,0)),"")</f>
        <v>192</v>
      </c>
      <c r="AH18" s="56">
        <f t="shared" si="1"/>
        <v>0.43625000000000003</v>
      </c>
      <c r="AI18" s="56">
        <f t="shared" si="2"/>
        <v>0.87250000000000005</v>
      </c>
      <c r="AJ18" s="56" t="str">
        <f t="shared" si="3"/>
        <v/>
      </c>
      <c r="AK18" s="56">
        <f t="shared" si="4"/>
        <v>0.18100000000000002</v>
      </c>
      <c r="AL18" s="56">
        <f t="shared" si="5"/>
        <v>0.17</v>
      </c>
      <c r="AM18" s="58"/>
      <c r="AN18" s="59" t="str">
        <f>IFERROR(IF(IF(C18="Batch",IFERROR(INDEX(Instancias!$J$2:$J$4,MATCH(D18,Instancias!$A$2:$A$4,0)),""),IFERROR(INDEX(Instancias!$K$2:$K$4,MATCH(D18,Instancias!$A$2:$A$4,0)),""))=0,"",IF(C18="Batch",IFERROR(INDEX(Instancias!$J$2:$J$4,MATCH(D18,Instancias!$A$2:$A$4,0)),""),IFERROR(INDEX(Instancias!$K$2:$K$4,MATCH(D18,Instancias!$A$2:$A$4,0)),""))),"")</f>
        <v/>
      </c>
      <c r="AO18" s="59" t="str">
        <f t="shared" si="6"/>
        <v/>
      </c>
      <c r="AP18" s="59" t="str">
        <f t="shared" si="7"/>
        <v/>
      </c>
      <c r="AQ18" s="53" t="s">
        <v>145</v>
      </c>
      <c r="AR18" s="53" t="s">
        <v>175</v>
      </c>
    </row>
    <row r="19" spans="1:44" ht="20.100000000000001" customHeight="1" x14ac:dyDescent="0.25">
      <c r="A19" s="53" t="s">
        <v>161</v>
      </c>
      <c r="B19" s="53" t="s">
        <v>176</v>
      </c>
      <c r="C19" s="53" t="s">
        <v>157</v>
      </c>
      <c r="D19" s="53" t="s">
        <v>92</v>
      </c>
      <c r="E19" s="53" t="s">
        <v>143</v>
      </c>
      <c r="F19" s="53" t="s">
        <v>3</v>
      </c>
      <c r="G19" s="54" t="str">
        <f>IFERROR(INDEX(Instancias!$B$2:$B$4,MATCH(D19,Instancias!$A$2:$A$4,0)),"")</f>
        <v>NVIDIA H200</v>
      </c>
      <c r="H19" s="53"/>
      <c r="I19" s="53"/>
      <c r="J19" s="53"/>
      <c r="K19" s="55">
        <v>28581</v>
      </c>
      <c r="L19" s="53">
        <v>35</v>
      </c>
      <c r="M19" s="53">
        <v>35</v>
      </c>
      <c r="N19" s="56">
        <f t="shared" si="0"/>
        <v>1</v>
      </c>
      <c r="O19" s="55">
        <v>1000335</v>
      </c>
      <c r="P19" s="57"/>
      <c r="Q19" s="57"/>
      <c r="R19" s="57">
        <v>7.18</v>
      </c>
      <c r="S19" s="55">
        <v>2316</v>
      </c>
      <c r="T19" s="55">
        <v>2316</v>
      </c>
      <c r="U19" s="55">
        <v>238.4</v>
      </c>
      <c r="V19" s="57">
        <v>64.400000000000006</v>
      </c>
      <c r="W19" s="53">
        <v>0</v>
      </c>
      <c r="X19" s="57">
        <v>227</v>
      </c>
      <c r="Y19" s="57">
        <v>495</v>
      </c>
      <c r="Z19" s="57"/>
      <c r="AA19" s="57">
        <v>104.8</v>
      </c>
      <c r="AB19" s="57">
        <v>3456</v>
      </c>
      <c r="AC19" s="57">
        <v>4934</v>
      </c>
      <c r="AD19" s="57">
        <v>5.4</v>
      </c>
      <c r="AE19" s="57">
        <v>5.7</v>
      </c>
      <c r="AF19" s="54">
        <f>IFERROR(INDEX(Instancias!$C$2:$C$4,MATCH(D19,Instancias!$A$2:$A$4,0)),"")</f>
        <v>8</v>
      </c>
      <c r="AG19" s="54">
        <f>IFERROR(INDEX(Instancias!$F$2:$F$4,MATCH(D19,Instancias!$A$2:$A$4,0)),"")</f>
        <v>192</v>
      </c>
      <c r="AH19" s="56">
        <f t="shared" si="1"/>
        <v>0.28375</v>
      </c>
      <c r="AI19" s="56">
        <f t="shared" si="2"/>
        <v>0.61875000000000002</v>
      </c>
      <c r="AJ19" s="56" t="str">
        <f t="shared" si="3"/>
        <v/>
      </c>
      <c r="AK19" s="56">
        <f t="shared" si="4"/>
        <v>0.13100000000000001</v>
      </c>
      <c r="AL19" s="56">
        <f t="shared" si="5"/>
        <v>0.18</v>
      </c>
      <c r="AM19" s="58"/>
      <c r="AN19" s="59" t="str">
        <f>IFERROR(IF(IF(C19="Batch",IFERROR(INDEX(Instancias!$J$2:$J$4,MATCH(D19,Instancias!$A$2:$A$4,0)),""),IFERROR(INDEX(Instancias!$K$2:$K$4,MATCH(D19,Instancias!$A$2:$A$4,0)),""))=0,"",IF(C19="Batch",IFERROR(INDEX(Instancias!$J$2:$J$4,MATCH(D19,Instancias!$A$2:$A$4,0)),""),IFERROR(INDEX(Instancias!$K$2:$K$4,MATCH(D19,Instancias!$A$2:$A$4,0)),""))),"")</f>
        <v/>
      </c>
      <c r="AO19" s="59" t="str">
        <f t="shared" si="6"/>
        <v/>
      </c>
      <c r="AP19" s="59" t="str">
        <f t="shared" si="7"/>
        <v/>
      </c>
      <c r="AQ19" s="53" t="s">
        <v>145</v>
      </c>
      <c r="AR19" s="53"/>
    </row>
    <row r="20" spans="1:44" ht="20.100000000000001" customHeight="1" x14ac:dyDescent="0.25">
      <c r="A20" s="53" t="s">
        <v>162</v>
      </c>
      <c r="B20" s="53" t="s">
        <v>176</v>
      </c>
      <c r="C20" s="53" t="s">
        <v>157</v>
      </c>
      <c r="D20" s="53" t="s">
        <v>92</v>
      </c>
      <c r="E20" s="53" t="s">
        <v>143</v>
      </c>
      <c r="F20" s="53" t="s">
        <v>163</v>
      </c>
      <c r="G20" s="54" t="str">
        <f>IFERROR(INDEX(Instancias!$B$2:$B$4,MATCH(D20,Instancias!$A$2:$A$4,0)),"")</f>
        <v>NVIDIA H200</v>
      </c>
      <c r="H20" s="53"/>
      <c r="I20" s="53"/>
      <c r="J20" s="53"/>
      <c r="K20" s="55">
        <v>28581</v>
      </c>
      <c r="L20" s="53">
        <v>840</v>
      </c>
      <c r="M20" s="53">
        <v>840</v>
      </c>
      <c r="N20" s="56">
        <f t="shared" si="0"/>
        <v>1</v>
      </c>
      <c r="O20" s="55">
        <v>24008040</v>
      </c>
      <c r="P20" s="57"/>
      <c r="Q20" s="57"/>
      <c r="R20" s="57">
        <v>194</v>
      </c>
      <c r="S20" s="55">
        <v>2058</v>
      </c>
      <c r="T20" s="55">
        <v>2058</v>
      </c>
      <c r="U20" s="55"/>
      <c r="V20" s="57">
        <v>63.6</v>
      </c>
      <c r="W20" s="53">
        <v>0</v>
      </c>
      <c r="X20" s="57">
        <v>274</v>
      </c>
      <c r="Y20" s="57">
        <v>699</v>
      </c>
      <c r="Z20" s="57"/>
      <c r="AA20" s="57">
        <v>146.4</v>
      </c>
      <c r="AB20" s="57">
        <v>3437</v>
      </c>
      <c r="AC20" s="57">
        <v>5434</v>
      </c>
      <c r="AD20" s="57">
        <v>5.5</v>
      </c>
      <c r="AE20" s="57">
        <v>5.9</v>
      </c>
      <c r="AF20" s="54">
        <f>IFERROR(INDEX(Instancias!$C$2:$C$4,MATCH(D20,Instancias!$A$2:$A$4,0)),"")</f>
        <v>8</v>
      </c>
      <c r="AG20" s="54">
        <f>IFERROR(INDEX(Instancias!$F$2:$F$4,MATCH(D20,Instancias!$A$2:$A$4,0)),"")</f>
        <v>192</v>
      </c>
      <c r="AH20" s="56">
        <f t="shared" si="1"/>
        <v>0.34250000000000003</v>
      </c>
      <c r="AI20" s="56">
        <f t="shared" si="2"/>
        <v>0.87375000000000003</v>
      </c>
      <c r="AJ20" s="56" t="str">
        <f t="shared" si="3"/>
        <v/>
      </c>
      <c r="AK20" s="56">
        <f t="shared" si="4"/>
        <v>0.183</v>
      </c>
      <c r="AL20" s="56">
        <f t="shared" si="5"/>
        <v>0.17901041666666667</v>
      </c>
      <c r="AM20" s="58"/>
      <c r="AN20" s="59" t="str">
        <f>IFERROR(IF(IF(C20="Batch",IFERROR(INDEX(Instancias!$J$2:$J$4,MATCH(D20,Instancias!$A$2:$A$4,0)),""),IFERROR(INDEX(Instancias!$K$2:$K$4,MATCH(D20,Instancias!$A$2:$A$4,0)),""))=0,"",IF(C20="Batch",IFERROR(INDEX(Instancias!$J$2:$J$4,MATCH(D20,Instancias!$A$2:$A$4,0)),""),IFERROR(INDEX(Instancias!$K$2:$K$4,MATCH(D20,Instancias!$A$2:$A$4,0)),""))),"")</f>
        <v/>
      </c>
      <c r="AO20" s="59" t="str">
        <f t="shared" si="6"/>
        <v/>
      </c>
      <c r="AP20" s="59" t="str">
        <f t="shared" si="7"/>
        <v/>
      </c>
      <c r="AQ20" s="53" t="s">
        <v>145</v>
      </c>
      <c r="AR20" s="53" t="s">
        <v>177</v>
      </c>
    </row>
  </sheetData>
  <mergeCells count="7">
    <mergeCell ref="AQ1:AR1"/>
    <mergeCell ref="AF1:AL1"/>
    <mergeCell ref="L1:W1"/>
    <mergeCell ref="AM1:AP1"/>
    <mergeCell ref="A1:F1"/>
    <mergeCell ref="X1:AE1"/>
    <mergeCell ref="G1:K1"/>
  </mergeCells>
  <conditionalFormatting sqref="E3:E500">
    <cfRule type="cellIs" dxfId="3" priority="4" operator="equal">
      <formula>"Sim"</formula>
    </cfRule>
  </conditionalFormatting>
  <conditionalFormatting sqref="AQ3:AQ500">
    <cfRule type="cellIs" dxfId="2" priority="1" operator="equal">
      <formula>"OK"</formula>
    </cfRule>
    <cfRule type="cellIs" dxfId="1" priority="2" operator="equal">
      <formula>"Parcial"</formula>
    </cfRule>
    <cfRule type="cellIs" dxfId="0" priority="3" operator="equal">
      <formula>"Falha"</formula>
    </cfRule>
  </conditionalFormatting>
  <dataValidations count="4">
    <dataValidation type="list" allowBlank="1" sqref="C3:C500" xr:uid="{00000000-0002-0000-0300-000000000000}">
      <formula1>"Batch,Async"</formula1>
    </dataValidation>
    <dataValidation type="list" allowBlank="1" sqref="E3:E500" xr:uid="{00000000-0002-0000-0300-000001000000}">
      <formula1>"Sim,Não"</formula1>
    </dataValidation>
    <dataValidation type="list" allowBlank="1" sqref="F3:F500" xr:uid="{00000000-0002-0000-0300-000002000000}">
      <formula1>"1 req./arquivo,Lote 40,1M,Rodada longa,8 req. em voo"</formula1>
    </dataValidation>
    <dataValidation type="list" allowBlank="1" sqref="AQ3:AQ500" xr:uid="{00000000-0002-0000-0300-000003000000}">
      <formula1>"OK,Parcial,Falha"</formula1>
    </dataValidation>
  </dataValidations>
  <pageMargins left="0.75" right="0.75" top="1" bottom="1" header="0.5" footer="0.5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4000000}">
          <x14:formula1>
            <xm:f>Instancias!$A$2:$A$4</xm:f>
          </x14:formula1>
          <xm:sqref>D3:D500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Leia-me</vt:lpstr>
      <vt:lpstr>Instancias</vt:lpstr>
      <vt:lpstr>Testes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Victória</cp:lastModifiedBy>
  <dcterms:created xsi:type="dcterms:W3CDTF">2026-10-21T18:45:42Z</dcterms:created>
  <dcterms:modified xsi:type="dcterms:W3CDTF">2026-10-21T18:45:46Z</dcterms:modified>
</cp:coreProperties>
</file>